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P\Documents\Kennycrown\Post_Graduate Thesis\Dr Adebisi\Mangerial Audit\"/>
    </mc:Choice>
  </mc:AlternateContent>
  <xr:revisionPtr revIDLastSave="0" documentId="13_ncr:1_{6DA93967-8A4B-472E-83AC-40AE2C2D5377}" xr6:coauthVersionLast="47" xr6:coauthVersionMax="47" xr10:uidLastSave="{00000000-0000-0000-0000-000000000000}"/>
  <bookViews>
    <workbookView xWindow="3140" yWindow="2990" windowWidth="14400" windowHeight="7810" activeTab="2" xr2:uid="{00000000-000D-0000-FFFF-FFFF00000000}"/>
  </bookViews>
  <sheets>
    <sheet name="New Combine" sheetId="14" r:id="rId1"/>
    <sheet name="Worked On" sheetId="16" r:id="rId2"/>
    <sheet name="Used Dataset" sheetId="15" r:id="rId3"/>
  </sheets>
  <definedNames>
    <definedName name="_xlnm._FilterDatabase" localSheetId="0" hidden="1">'New Combine'!$A$1:$N$101</definedName>
    <definedName name="_xlnm._FilterDatabase" localSheetId="1" hidden="1">'Worked On'!$A$1:$AF$101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4" l="1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3" i="14"/>
  <c r="K4" i="14"/>
  <c r="K5" i="14"/>
  <c r="K6" i="14"/>
  <c r="K7" i="14"/>
  <c r="K8" i="14"/>
  <c r="K9" i="14"/>
  <c r="K10" i="14"/>
  <c r="K11" i="14"/>
  <c r="K12" i="14"/>
  <c r="K2" i="14"/>
</calcChain>
</file>

<file path=xl/sharedStrings.xml><?xml version="1.0" encoding="utf-8"?>
<sst xmlns="http://schemas.openxmlformats.org/spreadsheetml/2006/main" count="372" uniqueCount="49">
  <si>
    <t>Year</t>
  </si>
  <si>
    <t>TA</t>
  </si>
  <si>
    <t>SIG</t>
  </si>
  <si>
    <t>AGE</t>
  </si>
  <si>
    <t>TANG</t>
  </si>
  <si>
    <t>UBA</t>
  </si>
  <si>
    <t>FCMB</t>
  </si>
  <si>
    <t>Bank</t>
  </si>
  <si>
    <t>Sterling Bank</t>
  </si>
  <si>
    <t>GT BANK</t>
  </si>
  <si>
    <t>Union Bank</t>
  </si>
  <si>
    <t>Fidelity Bank</t>
  </si>
  <si>
    <t>Zenith</t>
  </si>
  <si>
    <t>Access Bank</t>
  </si>
  <si>
    <t>Unity  Bank</t>
  </si>
  <si>
    <t>Stanbic Bank</t>
  </si>
  <si>
    <t>A</t>
  </si>
  <si>
    <t>L</t>
  </si>
  <si>
    <t>E</t>
  </si>
  <si>
    <t>NI</t>
  </si>
  <si>
    <t>CFO</t>
  </si>
  <si>
    <t>SZ</t>
  </si>
  <si>
    <t>Gwth</t>
  </si>
  <si>
    <t>Rev</t>
  </si>
  <si>
    <t>Rec</t>
  </si>
  <si>
    <t>PPE</t>
  </si>
  <si>
    <t>BZ</t>
  </si>
  <si>
    <t>Years of Est</t>
  </si>
  <si>
    <t>Age</t>
  </si>
  <si>
    <t>Lev</t>
  </si>
  <si>
    <t>Audit Firm Tenure</t>
  </si>
  <si>
    <t>AudFee</t>
  </si>
  <si>
    <t>AudTenure</t>
  </si>
  <si>
    <t>AudRotation</t>
  </si>
  <si>
    <t>Lagged Assets</t>
  </si>
  <si>
    <t>Lagged Rev</t>
  </si>
  <si>
    <t>Lagged Rec</t>
  </si>
  <si>
    <r>
      <t>TA</t>
    </r>
    <r>
      <rPr>
        <sz val="10"/>
        <color theme="1"/>
        <rFont val="Arial"/>
        <family val="2"/>
        <scheme val="minor"/>
      </rPr>
      <t>/Lagged Assets</t>
    </r>
  </si>
  <si>
    <t>1/Lagged Assets</t>
  </si>
  <si>
    <r>
      <t>(ΔRev</t>
    </r>
    <r>
      <rPr>
        <sz val="10"/>
        <color theme="1"/>
        <rFont val="Arial"/>
        <family val="2"/>
        <scheme val="minor"/>
      </rPr>
      <t>- ΔRec)/Lagged Assets</t>
    </r>
  </si>
  <si>
    <r>
      <t>PPE</t>
    </r>
    <r>
      <rPr>
        <sz val="10"/>
        <color theme="1"/>
        <rFont val="Arial"/>
        <family val="2"/>
        <scheme val="minor"/>
      </rPr>
      <t>/Lagged Assets</t>
    </r>
  </si>
  <si>
    <r>
      <t>(△Rev</t>
    </r>
    <r>
      <rPr>
        <vertAlign val="subscript"/>
        <sz val="10"/>
        <color theme="1"/>
        <rFont val="Arial"/>
        <family val="2"/>
        <scheme val="minor"/>
      </rPr>
      <t>it</t>
    </r>
    <r>
      <rPr>
        <sz val="10"/>
        <color theme="1"/>
        <rFont val="Arial"/>
        <family val="2"/>
        <scheme val="minor"/>
      </rPr>
      <t xml:space="preserve"> - △Rec</t>
    </r>
    <r>
      <rPr>
        <vertAlign val="subscript"/>
        <sz val="10"/>
        <color theme="1"/>
        <rFont val="Arial"/>
        <family val="2"/>
        <scheme val="minor"/>
      </rPr>
      <t>it</t>
    </r>
    <r>
      <rPr>
        <sz val="10"/>
        <color theme="1"/>
        <rFont val="Arial"/>
        <family val="2"/>
        <scheme val="minor"/>
      </rPr>
      <t>)</t>
    </r>
  </si>
  <si>
    <t>△Rec</t>
  </si>
  <si>
    <t>△Rev</t>
  </si>
  <si>
    <t>MgtAblty</t>
  </si>
  <si>
    <t>FRQ</t>
  </si>
  <si>
    <t>int2</t>
  </si>
  <si>
    <t>int3</t>
  </si>
  <si>
    <t>int1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</si>
</sst>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_(* #,##0_);_(* \(#,##0\);_(* &quot;-&quot;_);_(@_)"/>
    <numFmt numFmtId="165" formatCode="_-* #,##0.0000_-;\-* #,##0.0000_-;_-* &quot;-&quot;??_-;_-@_-"/>
    <numFmt numFmtId="166" formatCode="_-* #,##0.000000000_-;\-* #,##0.000000000_-;_-* &quot;-&quot;??_-;_-@_-"/>
    <numFmt numFmtId="167" formatCode="_-* #,##0.000000000000_-;\-* #,##0.000000000000_-;_-* &quot;-&quot;??_-;_-@_-"/>
    <numFmt numFmtId="168" formatCode="_-* #,##0.0000000000000000000_-;\-* #,##0.0000000000000000000_-;_-* &quot;-&quot;??_-;_-@_-"/>
    <numFmt numFmtId="169" formatCode="_-* #,##0_-;\-* #,##0_-;_-* &quot;-&quot;??_-;_-@_-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vertAlign val="subscript"/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164" fontId="5" fillId="0" borderId="0" xfId="0" applyNumberFormat="1" applyFont="1"/>
    <xf numFmtId="164" fontId="5" fillId="0" borderId="0" xfId="2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3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8" fontId="0" fillId="0" borderId="0" xfId="1" applyNumberFormat="1" applyFont="1"/>
    <xf numFmtId="43" fontId="0" fillId="0" borderId="0" xfId="1" applyFont="1"/>
    <xf numFmtId="169" fontId="0" fillId="0" borderId="0" xfId="1" applyNumberFormat="1" applyFont="1"/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3" fontId="0" fillId="0" borderId="0" xfId="1" applyNumberFormat="1" applyFont="1" applyAlignment="1">
      <alignment horizontal="left" vertical="top"/>
    </xf>
    <xf numFmtId="166" fontId="0" fillId="0" borderId="0" xfId="1" applyNumberFormat="1" applyFont="1" applyAlignment="1">
      <alignment horizontal="left" vertical="top"/>
    </xf>
    <xf numFmtId="168" fontId="0" fillId="0" borderId="0" xfId="1" applyNumberFormat="1" applyFont="1" applyAlignment="1">
      <alignment horizontal="left" vertical="top"/>
    </xf>
    <xf numFmtId="169" fontId="0" fillId="0" borderId="0" xfId="1" applyNumberFormat="1" applyFont="1" applyAlignment="1">
      <alignment horizontal="left" vertical="top"/>
    </xf>
    <xf numFmtId="165" fontId="0" fillId="0" borderId="0" xfId="1" applyNumberFormat="1" applyFont="1" applyAlignment="1">
      <alignment horizontal="left" vertical="top"/>
    </xf>
    <xf numFmtId="166" fontId="6" fillId="0" borderId="0" xfId="1" applyNumberFormat="1" applyFont="1" applyAlignment="1">
      <alignment horizontal="center" vertical="center"/>
    </xf>
    <xf numFmtId="168" fontId="6" fillId="0" borderId="0" xfId="1" applyNumberFormat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167" fontId="0" fillId="0" borderId="0" xfId="1" applyNumberFormat="1" applyFont="1" applyAlignment="1">
      <alignment horizontal="left" vertical="top"/>
    </xf>
    <xf numFmtId="11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7DCB-8387-4FC3-8CA4-B7DC6C3F40B0}">
  <dimension ref="A1:N132"/>
  <sheetViews>
    <sheetView workbookViewId="0">
      <pane xSplit="2" ySplit="1" topLeftCell="E31" activePane="bottomRight" state="frozen"/>
      <selection pane="topRight" activeCell="C1" sqref="C1"/>
      <selection pane="bottomLeft" activeCell="A2" sqref="A2"/>
      <selection pane="bottomRight" activeCell="H40" sqref="H40"/>
    </sheetView>
  </sheetViews>
  <sheetFormatPr defaultRowHeight="14.5" x14ac:dyDescent="0.35"/>
  <cols>
    <col min="1" max="1" width="4.81640625" style="16" bestFit="1" customWidth="1"/>
    <col min="2" max="2" width="11.54296875" bestFit="1" customWidth="1"/>
    <col min="3" max="3" width="17.453125" style="1" bestFit="1" customWidth="1"/>
    <col min="4" max="4" width="21.81640625" style="2" bestFit="1" customWidth="1"/>
    <col min="5" max="5" width="16.6328125" style="1" bestFit="1" customWidth="1"/>
    <col min="6" max="6" width="14.81640625" style="1" bestFit="1" customWidth="1"/>
    <col min="7" max="7" width="24.453125" style="1" bestFit="1" customWidth="1"/>
    <col min="8" max="8" width="14.81640625" bestFit="1" customWidth="1"/>
    <col min="9" max="9" width="16.36328125" bestFit="1" customWidth="1"/>
    <col min="10" max="10" width="14.81640625" bestFit="1" customWidth="1"/>
    <col min="11" max="11" width="13.7265625" style="7" bestFit="1" customWidth="1"/>
    <col min="12" max="12" width="12.6328125" style="7" bestFit="1" customWidth="1"/>
    <col min="13" max="13" width="13.7265625" style="10" bestFit="1" customWidth="1"/>
    <col min="14" max="14" width="13.7265625" style="6" bestFit="1" customWidth="1"/>
  </cols>
  <sheetData>
    <row r="1" spans="1:14" s="15" customFormat="1" ht="12.5" x14ac:dyDescent="0.25">
      <c r="A1" s="11" t="s">
        <v>0</v>
      </c>
      <c r="B1" s="11" t="s">
        <v>7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23</v>
      </c>
      <c r="I1" s="11" t="s">
        <v>24</v>
      </c>
      <c r="J1" s="11" t="s">
        <v>25</v>
      </c>
      <c r="K1" s="12" t="s">
        <v>21</v>
      </c>
      <c r="L1" s="12" t="s">
        <v>4</v>
      </c>
      <c r="M1" s="13" t="s">
        <v>3</v>
      </c>
      <c r="N1" s="14" t="s">
        <v>2</v>
      </c>
    </row>
    <row r="2" spans="1:14" s="5" customFormat="1" ht="12.5" x14ac:dyDescent="0.25">
      <c r="A2" s="16">
        <v>2012</v>
      </c>
      <c r="B2" s="16" t="s">
        <v>13</v>
      </c>
      <c r="C2" s="17">
        <v>1515754463</v>
      </c>
      <c r="D2" s="17">
        <v>1278130252</v>
      </c>
      <c r="E2" s="17">
        <v>237624211</v>
      </c>
      <c r="F2" s="17">
        <v>36353643</v>
      </c>
      <c r="G2" s="17">
        <v>-41656403</v>
      </c>
      <c r="H2" s="17">
        <v>180672</v>
      </c>
      <c r="I2" s="17">
        <v>557647</v>
      </c>
      <c r="J2" s="17"/>
      <c r="K2" s="18">
        <f>LN(H2)</f>
        <v>12.104438511613161</v>
      </c>
      <c r="L2" s="18"/>
      <c r="M2" s="20"/>
      <c r="N2" s="21"/>
    </row>
    <row r="3" spans="1:14" s="5" customFormat="1" ht="12.5" x14ac:dyDescent="0.25">
      <c r="A3" s="16">
        <v>2013</v>
      </c>
      <c r="B3" s="16" t="s">
        <v>13</v>
      </c>
      <c r="C3" s="17">
        <v>1704094012</v>
      </c>
      <c r="D3" s="17">
        <v>1458912014</v>
      </c>
      <c r="E3" s="17">
        <v>245181998</v>
      </c>
      <c r="F3" s="17">
        <v>26211844</v>
      </c>
      <c r="G3" s="17">
        <v>-80507219</v>
      </c>
      <c r="H3" s="17">
        <v>50463</v>
      </c>
      <c r="I3" s="17">
        <v>748349</v>
      </c>
      <c r="J3" s="17">
        <v>63203</v>
      </c>
      <c r="K3" s="18">
        <f t="shared" ref="K3:K66" si="0">LN(H3)</f>
        <v>10.828995673459891</v>
      </c>
      <c r="L3" s="18">
        <v>3.6635549228370298E-2</v>
      </c>
      <c r="M3" s="20">
        <v>24</v>
      </c>
      <c r="N3" s="21">
        <v>1.1242000000000001</v>
      </c>
    </row>
    <row r="4" spans="1:14" s="5" customFormat="1" ht="12.5" x14ac:dyDescent="0.25">
      <c r="A4" s="16">
        <v>2014</v>
      </c>
      <c r="B4" s="16" t="s">
        <v>13</v>
      </c>
      <c r="C4" s="17">
        <v>1981955730</v>
      </c>
      <c r="D4" s="17">
        <v>1707799944</v>
      </c>
      <c r="E4" s="17">
        <v>274155786</v>
      </c>
      <c r="F4" s="17">
        <v>39941126</v>
      </c>
      <c r="G4" s="17">
        <v>-291257104</v>
      </c>
      <c r="H4" s="17">
        <v>215210</v>
      </c>
      <c r="I4" s="17">
        <v>1075686</v>
      </c>
      <c r="J4" s="17">
        <v>64160</v>
      </c>
      <c r="K4" s="18">
        <f t="shared" si="0"/>
        <v>12.27936957459163</v>
      </c>
      <c r="L4" s="18">
        <v>3.3102552870100173E-2</v>
      </c>
      <c r="M4" s="20">
        <v>25</v>
      </c>
      <c r="N4" s="21">
        <v>1.1242000000000001</v>
      </c>
    </row>
    <row r="5" spans="1:14" s="5" customFormat="1" ht="12.5" x14ac:dyDescent="0.25">
      <c r="A5" s="16">
        <v>2015</v>
      </c>
      <c r="B5" s="16" t="s">
        <v>13</v>
      </c>
      <c r="C5" s="17">
        <v>2411944061</v>
      </c>
      <c r="D5" s="17">
        <v>2051515157</v>
      </c>
      <c r="E5" s="17">
        <v>360428904</v>
      </c>
      <c r="F5" s="17">
        <v>58924745</v>
      </c>
      <c r="G5" s="17">
        <v>-181246613</v>
      </c>
      <c r="H5" s="17">
        <v>322061</v>
      </c>
      <c r="I5" s="17">
        <v>1303630</v>
      </c>
      <c r="J5" s="17">
        <v>65900</v>
      </c>
      <c r="K5" s="18">
        <f t="shared" si="0"/>
        <v>12.682496247578655</v>
      </c>
      <c r="L5" s="18">
        <v>2.8300144060959664E-2</v>
      </c>
      <c r="M5" s="20">
        <v>26</v>
      </c>
      <c r="N5" s="21">
        <v>1.1242000000000001</v>
      </c>
    </row>
    <row r="6" spans="1:14" s="5" customFormat="1" ht="12.5" x14ac:dyDescent="0.25">
      <c r="A6" s="16">
        <v>2016</v>
      </c>
      <c r="B6" s="16" t="s">
        <v>13</v>
      </c>
      <c r="C6" s="17">
        <v>3094960515</v>
      </c>
      <c r="D6" s="17">
        <v>2673281895</v>
      </c>
      <c r="E6" s="17">
        <v>421678620</v>
      </c>
      <c r="F6" s="17">
        <v>64026135</v>
      </c>
      <c r="G6" s="17">
        <v>-124135578</v>
      </c>
      <c r="H6" s="17">
        <v>331001</v>
      </c>
      <c r="I6" s="17">
        <v>1698569</v>
      </c>
      <c r="J6" s="17">
        <v>71824</v>
      </c>
      <c r="K6" s="18">
        <f t="shared" si="0"/>
        <v>12.709876675502672</v>
      </c>
      <c r="L6" s="18">
        <v>2.4143425768503084E-2</v>
      </c>
      <c r="M6" s="20">
        <v>27</v>
      </c>
      <c r="N6" s="21">
        <v>1.1242000000000001</v>
      </c>
    </row>
    <row r="7" spans="1:14" s="5" customFormat="1" ht="12.5" x14ac:dyDescent="0.25">
      <c r="A7" s="16">
        <v>2017</v>
      </c>
      <c r="B7" s="16" t="s">
        <v>13</v>
      </c>
      <c r="C7" s="17">
        <v>3499638979</v>
      </c>
      <c r="D7" s="17">
        <v>3030192882</v>
      </c>
      <c r="E7" s="17">
        <v>469491097</v>
      </c>
      <c r="F7" s="17">
        <v>53238822</v>
      </c>
      <c r="G7" s="17">
        <v>104360680</v>
      </c>
      <c r="H7" s="17">
        <v>398162</v>
      </c>
      <c r="I7" s="17">
        <v>1872712</v>
      </c>
      <c r="J7" s="17">
        <v>83677</v>
      </c>
      <c r="K7" s="18">
        <f t="shared" si="0"/>
        <v>12.89461423662611</v>
      </c>
      <c r="L7" s="18">
        <v>2.3673547437642904E-2</v>
      </c>
      <c r="M7" s="20">
        <v>28</v>
      </c>
      <c r="N7" s="21">
        <v>1.1242000000000001</v>
      </c>
    </row>
    <row r="8" spans="1:14" s="5" customFormat="1" ht="12.5" x14ac:dyDescent="0.25">
      <c r="A8" s="16">
        <v>2018</v>
      </c>
      <c r="B8" s="16" t="s">
        <v>13</v>
      </c>
      <c r="C8" s="17">
        <v>3968114609</v>
      </c>
      <c r="D8" s="17">
        <v>3527314852</v>
      </c>
      <c r="E8" s="17">
        <v>440799757</v>
      </c>
      <c r="F8" s="17">
        <v>73596295</v>
      </c>
      <c r="G8" s="17">
        <v>366002389</v>
      </c>
      <c r="H8" s="17">
        <v>435743</v>
      </c>
      <c r="I8" s="17">
        <v>1782755</v>
      </c>
      <c r="J8" s="17">
        <v>88393</v>
      </c>
      <c r="K8" s="18">
        <f t="shared" si="0"/>
        <v>12.984807898996207</v>
      </c>
      <c r="L8" s="18">
        <v>2.0925602538915775E-2</v>
      </c>
      <c r="M8" s="20">
        <v>29</v>
      </c>
      <c r="N8" s="21">
        <v>1.1242000000000001</v>
      </c>
    </row>
    <row r="9" spans="1:14" s="5" customFormat="1" ht="12.5" x14ac:dyDescent="0.25">
      <c r="A9" s="16">
        <v>2019</v>
      </c>
      <c r="B9" s="16" t="s">
        <v>13</v>
      </c>
      <c r="C9" s="17">
        <v>6311041282</v>
      </c>
      <c r="D9" s="17">
        <v>5768100178</v>
      </c>
      <c r="E9" s="17">
        <v>542941104</v>
      </c>
      <c r="F9" s="17">
        <v>735569054</v>
      </c>
      <c r="G9" s="17">
        <v>1094573265</v>
      </c>
      <c r="H9" s="17">
        <v>572060.174</v>
      </c>
      <c r="I9" s="17">
        <v>2646036.6719999998</v>
      </c>
      <c r="J9" s="17">
        <v>188635</v>
      </c>
      <c r="K9" s="18">
        <f t="shared" si="0"/>
        <v>13.256999464129576</v>
      </c>
      <c r="L9" s="18">
        <v>2.9554464804236218E-2</v>
      </c>
      <c r="M9" s="20">
        <v>30</v>
      </c>
      <c r="N9" s="21">
        <v>1.1242000000000001</v>
      </c>
    </row>
    <row r="10" spans="1:14" s="5" customFormat="1" ht="12.5" x14ac:dyDescent="0.25">
      <c r="A10" s="16">
        <v>2020</v>
      </c>
      <c r="B10" s="16" t="s">
        <v>13</v>
      </c>
      <c r="C10" s="17">
        <v>7624979724</v>
      </c>
      <c r="D10" s="17">
        <v>6971084063</v>
      </c>
      <c r="E10" s="17">
        <v>653895661</v>
      </c>
      <c r="F10" s="17">
        <v>80039328</v>
      </c>
      <c r="G10" s="17">
        <v>-65407286</v>
      </c>
      <c r="H10" s="17">
        <v>634863.76800000004</v>
      </c>
      <c r="I10" s="17">
        <v>3050664.0070000002</v>
      </c>
      <c r="J10" s="17">
        <v>191893</v>
      </c>
      <c r="K10" s="18">
        <f t="shared" si="0"/>
        <v>13.361165716275458</v>
      </c>
      <c r="L10" s="18">
        <v>2.609277498177754E-2</v>
      </c>
      <c r="M10" s="20">
        <v>31</v>
      </c>
      <c r="N10" s="21">
        <v>1.1242000000000001</v>
      </c>
    </row>
    <row r="11" spans="1:14" s="5" customFormat="1" ht="12.5" x14ac:dyDescent="0.25">
      <c r="A11" s="16">
        <v>2021</v>
      </c>
      <c r="B11" s="16" t="s">
        <v>13</v>
      </c>
      <c r="C11" s="17">
        <v>9660760556</v>
      </c>
      <c r="D11" s="17">
        <v>8789310442</v>
      </c>
      <c r="E11" s="17">
        <v>871450114</v>
      </c>
      <c r="F11" s="17">
        <v>111326487</v>
      </c>
      <c r="G11" s="17">
        <v>500834811</v>
      </c>
      <c r="H11" s="17">
        <v>734281</v>
      </c>
      <c r="I11" s="17">
        <v>3578332</v>
      </c>
      <c r="J11" s="17">
        <v>194070.95</v>
      </c>
      <c r="K11" s="18">
        <f t="shared" si="0"/>
        <v>13.506647068121962</v>
      </c>
      <c r="L11" s="18">
        <v>2.1116123476552576E-2</v>
      </c>
      <c r="M11" s="20">
        <v>32</v>
      </c>
      <c r="N11" s="21">
        <v>1.1242000000000001</v>
      </c>
    </row>
    <row r="12" spans="1:14" s="5" customFormat="1" ht="12.5" x14ac:dyDescent="0.25">
      <c r="A12" s="16">
        <v>2022</v>
      </c>
      <c r="B12" s="16" t="s">
        <v>13</v>
      </c>
      <c r="C12" s="17">
        <v>12535280000</v>
      </c>
      <c r="D12" s="17">
        <v>11466613000</v>
      </c>
      <c r="E12" s="17">
        <v>1068667000</v>
      </c>
      <c r="F12" s="17">
        <v>166660000</v>
      </c>
      <c r="G12" s="17">
        <v>698528000</v>
      </c>
      <c r="H12" s="17">
        <v>1114734</v>
      </c>
      <c r="I12" s="17">
        <v>4406962</v>
      </c>
      <c r="J12" s="17">
        <v>245070</v>
      </c>
      <c r="K12" s="18">
        <f t="shared" si="0"/>
        <v>13.924126369392773</v>
      </c>
      <c r="L12" s="18">
        <v>2.0925602538915775E-2</v>
      </c>
      <c r="M12" s="20">
        <v>33</v>
      </c>
      <c r="N12" s="21">
        <v>0.62780000000000002</v>
      </c>
    </row>
    <row r="13" spans="1:14" s="5" customFormat="1" ht="12.5" x14ac:dyDescent="0.25">
      <c r="A13" s="16">
        <v>2012</v>
      </c>
      <c r="B13" s="16" t="s">
        <v>6</v>
      </c>
      <c r="C13" s="17">
        <v>890313606</v>
      </c>
      <c r="D13" s="17">
        <v>759422893</v>
      </c>
      <c r="E13" s="17">
        <v>117018764</v>
      </c>
      <c r="F13" s="17">
        <v>12559592</v>
      </c>
      <c r="G13" s="17">
        <v>214034289</v>
      </c>
      <c r="H13" s="17">
        <v>111789</v>
      </c>
      <c r="I13" s="17">
        <v>357799</v>
      </c>
      <c r="J13" s="17"/>
      <c r="K13" s="18">
        <f t="shared" si="0"/>
        <v>11.624368444880414</v>
      </c>
      <c r="L13" s="18"/>
      <c r="M13" s="20"/>
      <c r="N13" s="21"/>
    </row>
    <row r="14" spans="1:14" s="5" customFormat="1" ht="12.5" x14ac:dyDescent="0.25">
      <c r="A14" s="16">
        <v>2013</v>
      </c>
      <c r="B14" s="16" t="s">
        <v>6</v>
      </c>
      <c r="C14" s="17">
        <v>131482189</v>
      </c>
      <c r="D14" s="17">
        <v>160668</v>
      </c>
      <c r="E14" s="17">
        <v>131321521</v>
      </c>
      <c r="F14" s="17">
        <v>6027752</v>
      </c>
      <c r="G14" s="17">
        <v>-1490927</v>
      </c>
      <c r="H14" s="17">
        <v>130995</v>
      </c>
      <c r="I14" s="17">
        <v>450533</v>
      </c>
      <c r="J14" s="17">
        <v>26812</v>
      </c>
      <c r="K14" s="18">
        <f t="shared" si="0"/>
        <v>11.782914433515943</v>
      </c>
      <c r="L14" s="18">
        <v>2.3660686682805399E-2</v>
      </c>
      <c r="M14" s="20">
        <v>31</v>
      </c>
      <c r="N14" s="21">
        <v>0.9486</v>
      </c>
    </row>
    <row r="15" spans="1:14" s="5" customFormat="1" ht="12.5" x14ac:dyDescent="0.25">
      <c r="A15" s="16">
        <v>2014</v>
      </c>
      <c r="B15" s="16" t="s">
        <v>6</v>
      </c>
      <c r="C15" s="17">
        <v>131573290</v>
      </c>
      <c r="D15" s="17">
        <v>792674</v>
      </c>
      <c r="E15" s="17">
        <v>130777616</v>
      </c>
      <c r="F15" s="17">
        <v>5396968</v>
      </c>
      <c r="G15" s="17">
        <v>7880607</v>
      </c>
      <c r="H15" s="17">
        <v>148637</v>
      </c>
      <c r="I15" s="17">
        <v>617978</v>
      </c>
      <c r="J15" s="17">
        <v>28392</v>
      </c>
      <c r="K15" s="18">
        <f t="shared" si="0"/>
        <v>11.909262370851522</v>
      </c>
      <c r="L15" s="18">
        <v>2.1002061223957317E-2</v>
      </c>
      <c r="M15" s="20">
        <v>32</v>
      </c>
      <c r="N15" s="21">
        <v>0.9486</v>
      </c>
    </row>
    <row r="16" spans="1:14" s="5" customFormat="1" ht="12.5" x14ac:dyDescent="0.25">
      <c r="A16" s="16">
        <v>2015</v>
      </c>
      <c r="B16" s="16" t="s">
        <v>6</v>
      </c>
      <c r="C16" s="17">
        <v>129378261</v>
      </c>
      <c r="D16" s="17">
        <v>1028268</v>
      </c>
      <c r="E16" s="17">
        <v>128349993</v>
      </c>
      <c r="F16" s="17">
        <v>2523055</v>
      </c>
      <c r="G16" s="17">
        <v>5312976</v>
      </c>
      <c r="H16" s="17">
        <v>152508</v>
      </c>
      <c r="I16" s="17">
        <v>592957</v>
      </c>
      <c r="J16" s="17">
        <v>29971</v>
      </c>
      <c r="K16" s="18">
        <f t="shared" si="0"/>
        <v>11.934972332670071</v>
      </c>
      <c r="L16" s="18">
        <v>2.0311946624492882E-2</v>
      </c>
      <c r="M16" s="20">
        <v>33</v>
      </c>
      <c r="N16" s="21">
        <v>0.9486</v>
      </c>
    </row>
    <row r="17" spans="1:14" s="5" customFormat="1" ht="12.5" x14ac:dyDescent="0.25">
      <c r="A17" s="16">
        <v>2016</v>
      </c>
      <c r="B17" s="16" t="s">
        <v>6</v>
      </c>
      <c r="C17" s="17">
        <v>131366185</v>
      </c>
      <c r="D17" s="17">
        <v>1266203</v>
      </c>
      <c r="E17" s="17">
        <v>130099982</v>
      </c>
      <c r="F17" s="17">
        <v>3730260</v>
      </c>
      <c r="G17" s="17">
        <v>1502130</v>
      </c>
      <c r="H17" s="17">
        <v>176352</v>
      </c>
      <c r="I17" s="17">
        <v>659937</v>
      </c>
      <c r="J17" s="17">
        <v>32283</v>
      </c>
      <c r="K17" s="18">
        <f t="shared" si="0"/>
        <v>12.080237276682961</v>
      </c>
      <c r="L17" s="18">
        <v>2.1217952426066125E-2</v>
      </c>
      <c r="M17" s="20">
        <v>34</v>
      </c>
      <c r="N17" s="21">
        <v>0.9486</v>
      </c>
    </row>
    <row r="18" spans="1:14" s="5" customFormat="1" ht="12.5" x14ac:dyDescent="0.25">
      <c r="A18" s="16">
        <v>2017</v>
      </c>
      <c r="B18" s="16" t="s">
        <v>6</v>
      </c>
      <c r="C18" s="17">
        <v>131636805</v>
      </c>
      <c r="D18" s="17">
        <v>1992208</v>
      </c>
      <c r="E18" s="17">
        <v>129644597</v>
      </c>
      <c r="F18" s="17">
        <v>1524886</v>
      </c>
      <c r="G18" s="17">
        <v>2825839</v>
      </c>
      <c r="H18" s="17">
        <v>169881</v>
      </c>
      <c r="I18" s="17">
        <v>649797</v>
      </c>
      <c r="J18" s="17">
        <v>33402</v>
      </c>
      <c r="K18" s="18">
        <f t="shared" si="0"/>
        <v>12.042853470918006</v>
      </c>
      <c r="L18" s="18">
        <v>1.8644423825764412E-2</v>
      </c>
      <c r="M18" s="20">
        <v>35</v>
      </c>
      <c r="N18" s="21">
        <v>0.9486</v>
      </c>
    </row>
    <row r="19" spans="1:14" s="5" customFormat="1" ht="12.5" x14ac:dyDescent="0.25">
      <c r="A19" s="16">
        <v>2018</v>
      </c>
      <c r="B19" s="16" t="s">
        <v>6</v>
      </c>
      <c r="C19" s="17">
        <v>132792066</v>
      </c>
      <c r="D19" s="17">
        <v>1685983</v>
      </c>
      <c r="E19" s="17">
        <v>131106083</v>
      </c>
      <c r="F19" s="17">
        <v>3552392</v>
      </c>
      <c r="G19" s="17">
        <v>-1262734</v>
      </c>
      <c r="H19" s="17">
        <v>177249</v>
      </c>
      <c r="I19" s="17">
        <v>633035</v>
      </c>
      <c r="J19" s="17">
        <v>37282</v>
      </c>
      <c r="K19" s="18">
        <f t="shared" si="0"/>
        <v>12.085310802629516</v>
      </c>
      <c r="L19" s="18">
        <v>1.685522321335646E-2</v>
      </c>
      <c r="M19" s="20">
        <v>36</v>
      </c>
      <c r="N19" s="21">
        <v>0.9486</v>
      </c>
    </row>
    <row r="20" spans="1:14" s="5" customFormat="1" ht="12.5" x14ac:dyDescent="0.25">
      <c r="A20" s="16">
        <v>2019</v>
      </c>
      <c r="B20" s="16" t="s">
        <v>6</v>
      </c>
      <c r="C20" s="17">
        <v>134019820</v>
      </c>
      <c r="D20" s="17">
        <v>2080359</v>
      </c>
      <c r="E20" s="17">
        <v>131939461</v>
      </c>
      <c r="F20" s="17">
        <v>3601460</v>
      </c>
      <c r="G20" s="17">
        <v>2606461</v>
      </c>
      <c r="H20" s="17">
        <v>181249.93</v>
      </c>
      <c r="I20" s="17">
        <v>715881</v>
      </c>
      <c r="J20" s="17">
        <v>43697</v>
      </c>
      <c r="K20" s="18">
        <f t="shared" si="0"/>
        <v>12.107632186509949</v>
      </c>
      <c r="L20" s="18">
        <v>1.6434950889999779E-2</v>
      </c>
      <c r="M20" s="20">
        <v>37</v>
      </c>
      <c r="N20" s="21">
        <v>0.9486</v>
      </c>
    </row>
    <row r="21" spans="1:14" s="5" customFormat="1" ht="12.5" x14ac:dyDescent="0.25">
      <c r="A21" s="16">
        <v>2020</v>
      </c>
      <c r="B21" s="16" t="s">
        <v>6</v>
      </c>
      <c r="C21" s="17">
        <v>134719755</v>
      </c>
      <c r="D21" s="17">
        <v>2492400</v>
      </c>
      <c r="E21" s="17">
        <v>132227355</v>
      </c>
      <c r="F21" s="17">
        <v>3060273</v>
      </c>
      <c r="G21" s="17">
        <v>2215658</v>
      </c>
      <c r="H21" s="17">
        <v>198371</v>
      </c>
      <c r="I21" s="17">
        <v>822772</v>
      </c>
      <c r="J21" s="17">
        <v>16322</v>
      </c>
      <c r="K21" s="18">
        <f t="shared" si="0"/>
        <v>12.19789429379429</v>
      </c>
      <c r="L21" s="18">
        <v>1.8205614033051525E-2</v>
      </c>
      <c r="M21" s="20">
        <v>38</v>
      </c>
      <c r="N21" s="21">
        <v>0.9486</v>
      </c>
    </row>
    <row r="22" spans="1:14" s="5" customFormat="1" ht="12.5" x14ac:dyDescent="0.25">
      <c r="A22" s="16">
        <v>2021</v>
      </c>
      <c r="B22" s="16" t="s">
        <v>6</v>
      </c>
      <c r="C22" s="17">
        <v>141899520</v>
      </c>
      <c r="D22" s="17">
        <v>7556691</v>
      </c>
      <c r="E22" s="17">
        <v>134342829</v>
      </c>
      <c r="F22" s="17">
        <v>5088698</v>
      </c>
      <c r="G22" s="17">
        <v>-4142957</v>
      </c>
      <c r="H22" s="17">
        <v>212012</v>
      </c>
      <c r="I22" s="17">
        <v>1063589</v>
      </c>
      <c r="J22" s="17">
        <v>47085</v>
      </c>
      <c r="K22" s="18">
        <f t="shared" si="0"/>
        <v>12.264398155825802</v>
      </c>
      <c r="L22" s="18">
        <v>1.4830743235685968E-2</v>
      </c>
      <c r="M22" s="20">
        <v>39</v>
      </c>
      <c r="N22" s="21">
        <v>0.9486</v>
      </c>
    </row>
    <row r="23" spans="1:14" s="5" customFormat="1" ht="12.5" x14ac:dyDescent="0.25">
      <c r="A23" s="16">
        <v>2022</v>
      </c>
      <c r="B23" s="16" t="s">
        <v>6</v>
      </c>
      <c r="C23" s="17">
        <v>146678047</v>
      </c>
      <c r="D23" s="17">
        <v>9031572</v>
      </c>
      <c r="E23" s="17">
        <v>137646475</v>
      </c>
      <c r="F23" s="17">
        <v>7264188</v>
      </c>
      <c r="G23" s="17">
        <v>5975272</v>
      </c>
      <c r="H23" s="17">
        <v>282982</v>
      </c>
      <c r="I23" s="17">
        <v>1195627</v>
      </c>
      <c r="J23" s="17">
        <v>50968</v>
      </c>
      <c r="K23" s="18">
        <f t="shared" si="0"/>
        <v>12.553138570362256</v>
      </c>
      <c r="L23" s="18">
        <v>1.2985015292128978E-2</v>
      </c>
      <c r="M23" s="20">
        <v>40</v>
      </c>
      <c r="N23" s="21">
        <v>0.9486</v>
      </c>
    </row>
    <row r="24" spans="1:14" s="5" customFormat="1" ht="12.5" x14ac:dyDescent="0.25">
      <c r="A24" s="16">
        <v>2012</v>
      </c>
      <c r="B24" s="16" t="s">
        <v>11</v>
      </c>
      <c r="C24" s="17">
        <v>914360000</v>
      </c>
      <c r="D24" s="17">
        <v>752905000</v>
      </c>
      <c r="E24" s="17">
        <v>161455000</v>
      </c>
      <c r="F24" s="17">
        <v>17924000</v>
      </c>
      <c r="G24" s="17">
        <v>43177000</v>
      </c>
      <c r="H24" s="17">
        <v>119137</v>
      </c>
      <c r="I24" s="17">
        <v>443500</v>
      </c>
      <c r="J24" s="17"/>
      <c r="K24" s="18">
        <f t="shared" si="0"/>
        <v>11.688029370405681</v>
      </c>
      <c r="L24" s="18"/>
      <c r="M24" s="20"/>
      <c r="N24" s="21"/>
    </row>
    <row r="25" spans="1:14" s="5" customFormat="1" ht="12.5" x14ac:dyDescent="0.25">
      <c r="A25" s="16">
        <v>2013</v>
      </c>
      <c r="B25" s="16" t="s">
        <v>11</v>
      </c>
      <c r="C25" s="17">
        <v>1081217000</v>
      </c>
      <c r="D25" s="17">
        <v>917762000</v>
      </c>
      <c r="E25" s="17">
        <v>163455000</v>
      </c>
      <c r="F25" s="17">
        <v>7721000</v>
      </c>
      <c r="G25" s="17">
        <v>15048000</v>
      </c>
      <c r="H25" s="17">
        <v>126918</v>
      </c>
      <c r="I25" s="17">
        <v>506951</v>
      </c>
      <c r="J25" s="17">
        <v>470</v>
      </c>
      <c r="K25" s="18">
        <f t="shared" si="0"/>
        <v>11.751296487615205</v>
      </c>
      <c r="L25" s="18">
        <v>3.4655392950721273E-2</v>
      </c>
      <c r="M25" s="20">
        <v>25</v>
      </c>
      <c r="N25" s="21">
        <v>0.95399999999999996</v>
      </c>
    </row>
    <row r="26" spans="1:14" s="5" customFormat="1" ht="12.5" x14ac:dyDescent="0.25">
      <c r="A26" s="16">
        <v>2014</v>
      </c>
      <c r="B26" s="16" t="s">
        <v>11</v>
      </c>
      <c r="C26" s="17">
        <v>1187025000</v>
      </c>
      <c r="D26" s="17">
        <v>1013914000</v>
      </c>
      <c r="E26" s="17">
        <v>173111000</v>
      </c>
      <c r="F26" s="17">
        <v>13796000</v>
      </c>
      <c r="G26" s="17">
        <v>53565000</v>
      </c>
      <c r="H26" s="17">
        <v>136094</v>
      </c>
      <c r="I26" s="17">
        <v>610421</v>
      </c>
      <c r="J26" s="17">
        <v>37958</v>
      </c>
      <c r="K26" s="18">
        <f t="shared" si="0"/>
        <v>11.821101102436328</v>
      </c>
      <c r="L26" s="18">
        <v>3.1977422547966552E-2</v>
      </c>
      <c r="M26" s="20">
        <v>26</v>
      </c>
      <c r="N26" s="21">
        <v>16.8504</v>
      </c>
    </row>
    <row r="27" spans="1:14" s="5" customFormat="1" ht="12.5" x14ac:dyDescent="0.25">
      <c r="A27" s="16">
        <v>2015</v>
      </c>
      <c r="B27" s="16" t="s">
        <v>11</v>
      </c>
      <c r="C27" s="17">
        <v>1231722000</v>
      </c>
      <c r="D27" s="17">
        <v>1048206000</v>
      </c>
      <c r="E27" s="17">
        <v>183516000</v>
      </c>
      <c r="F27" s="17">
        <v>13904000</v>
      </c>
      <c r="G27" s="17">
        <v>107132000</v>
      </c>
      <c r="H27" s="17">
        <v>146948</v>
      </c>
      <c r="I27" s="17">
        <v>658145</v>
      </c>
      <c r="J27" s="17">
        <v>39985</v>
      </c>
      <c r="K27" s="18">
        <f t="shared" si="0"/>
        <v>11.897834061682993</v>
      </c>
      <c r="L27" s="18">
        <v>3.2462682326044351E-2</v>
      </c>
      <c r="M27" s="20">
        <v>27</v>
      </c>
      <c r="N27" s="21">
        <v>0.95399999999999996</v>
      </c>
    </row>
    <row r="28" spans="1:14" s="5" customFormat="1" ht="12.5" x14ac:dyDescent="0.25">
      <c r="A28" s="16">
        <v>2016</v>
      </c>
      <c r="B28" s="16" t="s">
        <v>11</v>
      </c>
      <c r="C28" s="17">
        <v>1298141000</v>
      </c>
      <c r="D28" s="17">
        <v>1112739000</v>
      </c>
      <c r="E28" s="17">
        <v>185402000</v>
      </c>
      <c r="F28" s="17">
        <v>9734000</v>
      </c>
      <c r="G28" s="17">
        <v>-56907000</v>
      </c>
      <c r="H28" s="17">
        <v>152021</v>
      </c>
      <c r="I28" s="17">
        <v>767601</v>
      </c>
      <c r="J28" s="17">
        <v>40356</v>
      </c>
      <c r="K28" s="18">
        <f t="shared" si="0"/>
        <v>11.931773948180227</v>
      </c>
      <c r="L28" s="18">
        <v>3.1087532093971301E-2</v>
      </c>
      <c r="M28" s="20">
        <v>28</v>
      </c>
      <c r="N28" s="21">
        <v>0.95399999999999996</v>
      </c>
    </row>
    <row r="29" spans="1:14" s="5" customFormat="1" ht="12.5" x14ac:dyDescent="0.25">
      <c r="A29" s="16">
        <v>2017</v>
      </c>
      <c r="B29" s="16" t="s">
        <v>11</v>
      </c>
      <c r="C29" s="17">
        <v>1379214000</v>
      </c>
      <c r="D29" s="17">
        <v>1175899000</v>
      </c>
      <c r="E29" s="17">
        <v>203315000</v>
      </c>
      <c r="F29" s="17">
        <v>18857000</v>
      </c>
      <c r="G29" s="17">
        <v>-38026000</v>
      </c>
      <c r="H29" s="17">
        <v>179896</v>
      </c>
      <c r="I29" s="17">
        <v>821024</v>
      </c>
      <c r="J29" s="17">
        <v>38504</v>
      </c>
      <c r="K29" s="18">
        <f t="shared" si="0"/>
        <v>12.100134185116669</v>
      </c>
      <c r="L29" s="18">
        <v>2.7917350026899379E-2</v>
      </c>
      <c r="M29" s="20">
        <v>29</v>
      </c>
      <c r="N29" s="21">
        <v>0.95399999999999996</v>
      </c>
    </row>
    <row r="30" spans="1:14" s="5" customFormat="1" ht="12.5" x14ac:dyDescent="0.25">
      <c r="A30" s="16">
        <v>2018</v>
      </c>
      <c r="B30" s="16" t="s">
        <v>11</v>
      </c>
      <c r="C30" s="17">
        <v>1719883000</v>
      </c>
      <c r="D30" s="17">
        <v>1525467000</v>
      </c>
      <c r="E30" s="17">
        <v>194416000</v>
      </c>
      <c r="F30" s="17">
        <v>22926000</v>
      </c>
      <c r="G30" s="17">
        <v>175265000</v>
      </c>
      <c r="H30" s="17">
        <v>189005</v>
      </c>
      <c r="I30" s="17">
        <v>961513</v>
      </c>
      <c r="J30" s="17">
        <v>36909</v>
      </c>
      <c r="K30" s="18">
        <f t="shared" si="0"/>
        <v>12.149528748718307</v>
      </c>
      <c r="L30" s="18">
        <v>2.1460180721595598E-2</v>
      </c>
      <c r="M30" s="20">
        <v>30</v>
      </c>
      <c r="N30" s="21">
        <v>0.95399999999999996</v>
      </c>
    </row>
    <row r="31" spans="1:14" s="5" customFormat="1" ht="12.5" x14ac:dyDescent="0.25">
      <c r="A31" s="16">
        <v>2019</v>
      </c>
      <c r="B31" s="16" t="s">
        <v>11</v>
      </c>
      <c r="C31" s="17">
        <v>2114037000</v>
      </c>
      <c r="D31" s="17">
        <v>1880007000</v>
      </c>
      <c r="E31" s="17">
        <v>234030000</v>
      </c>
      <c r="F31" s="17">
        <v>28425000</v>
      </c>
      <c r="G31" s="17">
        <v>-26051000</v>
      </c>
      <c r="H31" s="17">
        <v>218011</v>
      </c>
      <c r="I31" s="17">
        <v>1276843</v>
      </c>
      <c r="J31" s="17">
        <v>38392</v>
      </c>
      <c r="K31" s="18">
        <f t="shared" si="0"/>
        <v>12.292300799213825</v>
      </c>
      <c r="L31" s="18">
        <v>1.816051469297841E-2</v>
      </c>
      <c r="M31" s="20">
        <v>31</v>
      </c>
      <c r="N31" s="21">
        <v>0.95399999999999996</v>
      </c>
    </row>
    <row r="32" spans="1:14" s="5" customFormat="1" ht="12.5" x14ac:dyDescent="0.25">
      <c r="A32" s="16">
        <v>2020</v>
      </c>
      <c r="B32" s="16" t="s">
        <v>11</v>
      </c>
      <c r="C32" s="17">
        <v>2758148000</v>
      </c>
      <c r="D32" s="17">
        <v>2484615000</v>
      </c>
      <c r="E32" s="17">
        <v>273533000</v>
      </c>
      <c r="F32" s="17">
        <v>26650000</v>
      </c>
      <c r="G32" s="17">
        <v>242619000</v>
      </c>
      <c r="H32" s="17">
        <v>206204</v>
      </c>
      <c r="I32" s="17">
        <v>1326106</v>
      </c>
      <c r="J32" s="17">
        <v>38446</v>
      </c>
      <c r="K32" s="18">
        <f t="shared" si="0"/>
        <v>12.23662124901894</v>
      </c>
      <c r="L32" s="18">
        <v>1.3939063458523618E-2</v>
      </c>
      <c r="M32" s="20">
        <v>32</v>
      </c>
      <c r="N32" s="21">
        <v>0.95399999999999996</v>
      </c>
    </row>
    <row r="33" spans="1:14" s="5" customFormat="1" ht="12.5" x14ac:dyDescent="0.25">
      <c r="A33" s="16">
        <v>2021</v>
      </c>
      <c r="B33" s="16" t="s">
        <v>11</v>
      </c>
      <c r="C33" s="17">
        <v>3289479000</v>
      </c>
      <c r="D33" s="17">
        <v>2991710000</v>
      </c>
      <c r="E33" s="17">
        <v>297769000</v>
      </c>
      <c r="F33" s="17">
        <v>35579000</v>
      </c>
      <c r="G33" s="17">
        <v>-117000</v>
      </c>
      <c r="H33" s="17">
        <v>203566</v>
      </c>
      <c r="I33" s="17">
        <v>1658412</v>
      </c>
      <c r="J33" s="17">
        <v>39440</v>
      </c>
      <c r="K33" s="18">
        <f t="shared" si="0"/>
        <v>12.223745555607346</v>
      </c>
      <c r="L33" s="18">
        <v>1.1989740624579151E-2</v>
      </c>
      <c r="M33" s="20">
        <v>33</v>
      </c>
      <c r="N33" s="21">
        <v>1.3608</v>
      </c>
    </row>
    <row r="34" spans="1:14" s="5" customFormat="1" ht="12.5" x14ac:dyDescent="0.25">
      <c r="A34" s="16">
        <v>2022</v>
      </c>
      <c r="B34" s="16" t="s">
        <v>11</v>
      </c>
      <c r="C34" s="17">
        <v>3989009000</v>
      </c>
      <c r="D34" s="17">
        <v>3674649000</v>
      </c>
      <c r="E34" s="17">
        <v>314360000</v>
      </c>
      <c r="F34" s="17">
        <v>46724000</v>
      </c>
      <c r="G34" s="17">
        <v>297592000</v>
      </c>
      <c r="H34" s="17">
        <v>295578</v>
      </c>
      <c r="I34" s="17">
        <v>2116212</v>
      </c>
      <c r="J34" s="17">
        <v>42657</v>
      </c>
      <c r="K34" s="18">
        <f t="shared" si="0"/>
        <v>12.596688040388003</v>
      </c>
      <c r="L34" s="18">
        <v>1.816051469297841E-2</v>
      </c>
      <c r="M34" s="20">
        <v>34</v>
      </c>
      <c r="N34" s="21">
        <v>1.3608</v>
      </c>
    </row>
    <row r="35" spans="1:14" s="5" customFormat="1" ht="12.5" x14ac:dyDescent="0.25">
      <c r="A35" s="16">
        <v>2012</v>
      </c>
      <c r="B35" s="16" t="s">
        <v>9</v>
      </c>
      <c r="C35" s="17">
        <v>1620317223</v>
      </c>
      <c r="D35" s="17">
        <v>1332163593</v>
      </c>
      <c r="E35" s="17">
        <v>288153630</v>
      </c>
      <c r="F35" s="17">
        <v>85263826</v>
      </c>
      <c r="G35" s="17">
        <v>-7708373</v>
      </c>
      <c r="H35" s="17">
        <v>223064885</v>
      </c>
      <c r="I35" s="17">
        <v>783914842</v>
      </c>
      <c r="J35" s="17"/>
      <c r="K35" s="18">
        <f t="shared" si="0"/>
        <v>19.222973251228101</v>
      </c>
      <c r="L35" s="18"/>
      <c r="M35" s="20"/>
      <c r="N35" s="21"/>
    </row>
    <row r="36" spans="1:14" s="5" customFormat="1" ht="12.5" x14ac:dyDescent="0.25">
      <c r="A36" s="16">
        <v>2013</v>
      </c>
      <c r="B36" s="16" t="s">
        <v>9</v>
      </c>
      <c r="C36" s="17">
        <v>1904365795</v>
      </c>
      <c r="D36" s="17">
        <v>1574719114</v>
      </c>
      <c r="E36" s="17">
        <v>329646681</v>
      </c>
      <c r="F36" s="17">
        <v>85545510</v>
      </c>
      <c r="G36" s="17">
        <v>306604430</v>
      </c>
      <c r="H36" s="17">
        <v>242665011</v>
      </c>
      <c r="I36" s="17">
        <v>1007967114</v>
      </c>
      <c r="J36" s="17">
        <v>68306197</v>
      </c>
      <c r="K36" s="18">
        <f t="shared" si="0"/>
        <v>19.307192494667376</v>
      </c>
      <c r="L36" s="18">
        <v>3.248273222084077E-2</v>
      </c>
      <c r="M36" s="20">
        <v>23</v>
      </c>
      <c r="N36" s="21">
        <v>3.5424000000000002</v>
      </c>
    </row>
    <row r="37" spans="1:14" s="5" customFormat="1" ht="12.5" x14ac:dyDescent="0.25">
      <c r="A37" s="16">
        <v>2014</v>
      </c>
      <c r="B37" s="16" t="s">
        <v>9</v>
      </c>
      <c r="C37" s="17">
        <v>2126608312</v>
      </c>
      <c r="D37" s="17">
        <v>1757077986</v>
      </c>
      <c r="E37" s="17">
        <v>369530326</v>
      </c>
      <c r="F37" s="17">
        <v>93431604</v>
      </c>
      <c r="G37" s="17">
        <v>-91880008</v>
      </c>
      <c r="H37" s="17">
        <v>278520814</v>
      </c>
      <c r="I37" s="17">
        <v>1281376727</v>
      </c>
      <c r="J37" s="17">
        <v>76236447</v>
      </c>
      <c r="K37" s="18">
        <f t="shared" si="0"/>
        <v>19.445003350625186</v>
      </c>
      <c r="L37" s="18">
        <v>3.2360119963265002E-2</v>
      </c>
      <c r="M37" s="20">
        <v>24</v>
      </c>
      <c r="N37" s="21">
        <v>3.5424000000000002</v>
      </c>
    </row>
    <row r="38" spans="1:14" s="5" customFormat="1" ht="12.5" x14ac:dyDescent="0.25">
      <c r="A38" s="16">
        <v>2015</v>
      </c>
      <c r="B38" s="16" t="s">
        <v>9</v>
      </c>
      <c r="C38" s="17">
        <v>2277629224</v>
      </c>
      <c r="D38" s="17">
        <v>1872020876</v>
      </c>
      <c r="E38" s="17">
        <v>405608348</v>
      </c>
      <c r="F38" s="17">
        <v>94308123</v>
      </c>
      <c r="G38" s="17">
        <v>10429148</v>
      </c>
      <c r="H38" s="17">
        <v>301850111</v>
      </c>
      <c r="I38" s="17">
        <v>1372977068</v>
      </c>
      <c r="J38" s="17">
        <v>87988778</v>
      </c>
      <c r="K38" s="18">
        <f t="shared" si="0"/>
        <v>19.525441130938958</v>
      </c>
      <c r="L38" s="18">
        <v>3.4852648838633385E-2</v>
      </c>
      <c r="M38" s="20">
        <v>25</v>
      </c>
      <c r="N38" s="21">
        <v>3.5424000000000002</v>
      </c>
    </row>
    <row r="39" spans="1:14" s="5" customFormat="1" ht="12.5" x14ac:dyDescent="0.25">
      <c r="A39" s="16">
        <v>2016</v>
      </c>
      <c r="B39" s="16" t="s">
        <v>9</v>
      </c>
      <c r="C39" s="17">
        <v>2613340074</v>
      </c>
      <c r="D39" s="17">
        <v>2136422221</v>
      </c>
      <c r="E39" s="17">
        <v>476917853</v>
      </c>
      <c r="F39" s="17">
        <v>126836792</v>
      </c>
      <c r="G39" s="17">
        <v>268884139</v>
      </c>
      <c r="H39" s="17">
        <v>196152958</v>
      </c>
      <c r="I39" s="17">
        <v>1590083552</v>
      </c>
      <c r="J39" s="17">
        <v>93488055</v>
      </c>
      <c r="K39" s="18">
        <f t="shared" si="0"/>
        <v>19.094405310801822</v>
      </c>
      <c r="L39" s="18">
        <v>2.9998797273170615E-2</v>
      </c>
      <c r="M39" s="20">
        <v>26</v>
      </c>
      <c r="N39" s="21">
        <v>3.5424000000000002</v>
      </c>
    </row>
    <row r="40" spans="1:14" s="5" customFormat="1" ht="12.5" x14ac:dyDescent="0.25">
      <c r="A40" s="16">
        <v>2017</v>
      </c>
      <c r="B40" s="16" t="s">
        <v>9</v>
      </c>
      <c r="C40" s="17">
        <v>2824928985</v>
      </c>
      <c r="D40" s="17">
        <v>2240584624</v>
      </c>
      <c r="E40" s="17">
        <v>584344361</v>
      </c>
      <c r="F40" s="17">
        <v>161284680</v>
      </c>
      <c r="G40" s="17">
        <v>353397327</v>
      </c>
      <c r="H40" s="17">
        <v>419226271</v>
      </c>
      <c r="I40" s="17">
        <v>1449283791</v>
      </c>
      <c r="J40" s="17">
        <v>98669998</v>
      </c>
      <c r="K40" s="18">
        <f t="shared" si="0"/>
        <v>19.853921358377693</v>
      </c>
      <c r="L40" s="18">
        <v>2.9444091901975781E-2</v>
      </c>
      <c r="M40" s="20">
        <v>27</v>
      </c>
      <c r="N40" s="21">
        <v>3.5424000000000002</v>
      </c>
    </row>
    <row r="41" spans="1:14" s="5" customFormat="1" ht="12.5" x14ac:dyDescent="0.25">
      <c r="A41" s="16">
        <v>2018</v>
      </c>
      <c r="B41" s="16" t="s">
        <v>9</v>
      </c>
      <c r="C41" s="17">
        <v>2712521494</v>
      </c>
      <c r="D41" s="17">
        <v>2200679235</v>
      </c>
      <c r="E41" s="17">
        <v>511842259</v>
      </c>
      <c r="F41" s="17">
        <v>166919765</v>
      </c>
      <c r="G41" s="17">
        <v>224625664</v>
      </c>
      <c r="H41" s="17">
        <v>434653969</v>
      </c>
      <c r="I41" s="17">
        <v>1262005001</v>
      </c>
      <c r="J41" s="17">
        <v>111825917</v>
      </c>
      <c r="K41" s="18">
        <f t="shared" si="0"/>
        <v>19.890060798932758</v>
      </c>
      <c r="L41" s="18">
        <v>3.401711631921122E-2</v>
      </c>
      <c r="M41" s="20">
        <v>28</v>
      </c>
      <c r="N41" s="21">
        <v>3.5424000000000002</v>
      </c>
    </row>
    <row r="42" spans="1:14" s="5" customFormat="1" ht="12.5" x14ac:dyDescent="0.25">
      <c r="A42" s="16">
        <v>2019</v>
      </c>
      <c r="B42" s="16" t="s">
        <v>9</v>
      </c>
      <c r="C42" s="17">
        <v>3097248495</v>
      </c>
      <c r="D42" s="17">
        <v>2491358899</v>
      </c>
      <c r="E42" s="17">
        <v>605889596</v>
      </c>
      <c r="F42" s="17">
        <v>175125281</v>
      </c>
      <c r="G42" s="17">
        <v>197853667</v>
      </c>
      <c r="H42" s="17">
        <v>435306541</v>
      </c>
      <c r="I42" s="17">
        <v>1502085356</v>
      </c>
      <c r="J42" s="17">
        <v>141774863</v>
      </c>
      <c r="K42" s="18">
        <f t="shared" si="0"/>
        <v>19.891561032828193</v>
      </c>
      <c r="L42" s="18">
        <v>3.7716926508630032E-2</v>
      </c>
      <c r="M42" s="20">
        <v>29</v>
      </c>
      <c r="N42" s="21">
        <v>3.5424000000000002</v>
      </c>
    </row>
    <row r="43" spans="1:14" s="5" customFormat="1" ht="12.5" x14ac:dyDescent="0.25">
      <c r="A43" s="16">
        <v>2020</v>
      </c>
      <c r="B43" s="16" t="s">
        <v>9</v>
      </c>
      <c r="C43" s="17">
        <v>4061543605</v>
      </c>
      <c r="D43" s="17">
        <v>3359144080</v>
      </c>
      <c r="E43" s="17">
        <v>702399525</v>
      </c>
      <c r="F43" s="17">
        <v>178188398</v>
      </c>
      <c r="G43" s="17">
        <v>327793445</v>
      </c>
      <c r="H43" s="17">
        <v>455229759</v>
      </c>
      <c r="I43" s="17">
        <v>1662830742</v>
      </c>
      <c r="J43" s="17">
        <v>148782835</v>
      </c>
      <c r="K43" s="18">
        <f t="shared" si="0"/>
        <v>19.93631281429855</v>
      </c>
      <c r="L43" s="18">
        <v>3.0089639492141437E-2</v>
      </c>
      <c r="M43" s="20">
        <v>30</v>
      </c>
      <c r="N43" s="21">
        <v>3.5424000000000002</v>
      </c>
    </row>
    <row r="44" spans="1:14" s="5" customFormat="1" ht="12.5" x14ac:dyDescent="0.25">
      <c r="A44" s="16">
        <v>2021</v>
      </c>
      <c r="B44" s="16" t="s">
        <v>9</v>
      </c>
      <c r="C44" s="17">
        <v>143716044</v>
      </c>
      <c r="D44" s="17">
        <v>6076055</v>
      </c>
      <c r="E44" s="17">
        <v>137639949</v>
      </c>
      <c r="F44" s="17">
        <v>8282599</v>
      </c>
      <c r="G44" s="17">
        <v>4157726</v>
      </c>
      <c r="H44" s="17">
        <v>447729585</v>
      </c>
      <c r="I44" s="17">
        <v>1802702395</v>
      </c>
      <c r="J44" s="17">
        <v>203971924</v>
      </c>
      <c r="K44" s="18">
        <f t="shared" si="0"/>
        <v>19.919700003225763</v>
      </c>
      <c r="L44" s="18">
        <v>3.75221874238423E-2</v>
      </c>
      <c r="M44" s="20">
        <v>31</v>
      </c>
      <c r="N44" s="21">
        <v>3.5424000000000002</v>
      </c>
    </row>
    <row r="45" spans="1:14" s="5" customFormat="1" ht="12.5" x14ac:dyDescent="0.25">
      <c r="A45" s="16">
        <v>2022</v>
      </c>
      <c r="B45" s="16" t="s">
        <v>9</v>
      </c>
      <c r="C45" s="17">
        <v>163995022</v>
      </c>
      <c r="D45" s="17">
        <v>26043503</v>
      </c>
      <c r="E45" s="17">
        <v>137951519</v>
      </c>
      <c r="F45" s="17">
        <v>88605108</v>
      </c>
      <c r="G45" s="17">
        <v>21669857</v>
      </c>
      <c r="H45" s="17">
        <v>538784897</v>
      </c>
      <c r="I45" s="17">
        <v>1885853404</v>
      </c>
      <c r="J45" s="17">
        <v>197860484</v>
      </c>
      <c r="K45" s="18">
        <f t="shared" si="0"/>
        <v>20.104826971298408</v>
      </c>
      <c r="L45" s="18">
        <v>3.401711631921122E-2</v>
      </c>
      <c r="M45" s="20">
        <v>32</v>
      </c>
      <c r="N45" s="21">
        <v>3.5424000000000002</v>
      </c>
    </row>
    <row r="46" spans="1:14" s="5" customFormat="1" ht="12.5" x14ac:dyDescent="0.25">
      <c r="A46" s="16">
        <v>2012</v>
      </c>
      <c r="B46" s="16" t="s">
        <v>15</v>
      </c>
      <c r="C46" s="17">
        <v>676819</v>
      </c>
      <c r="D46" s="17"/>
      <c r="E46" s="17">
        <v>85651</v>
      </c>
      <c r="F46" s="17"/>
      <c r="G46" s="17"/>
      <c r="H46" s="17">
        <v>91860</v>
      </c>
      <c r="I46" s="17">
        <v>290915</v>
      </c>
      <c r="J46" s="17"/>
      <c r="K46" s="18">
        <f t="shared" si="0"/>
        <v>11.428020957879784</v>
      </c>
      <c r="L46" s="18"/>
      <c r="M46" s="20"/>
      <c r="N46" s="21"/>
    </row>
    <row r="47" spans="1:14" s="5" customFormat="1" ht="12.5" x14ac:dyDescent="0.25">
      <c r="A47" s="16">
        <v>2013</v>
      </c>
      <c r="B47" s="16" t="s">
        <v>15</v>
      </c>
      <c r="C47" s="17">
        <v>761451</v>
      </c>
      <c r="D47" s="17">
        <v>660242</v>
      </c>
      <c r="E47" s="17">
        <v>97634</v>
      </c>
      <c r="F47" s="17">
        <v>20773</v>
      </c>
      <c r="G47" s="17">
        <v>91682</v>
      </c>
      <c r="H47" s="17">
        <v>111226</v>
      </c>
      <c r="I47" s="17">
        <v>383927</v>
      </c>
      <c r="J47" s="17">
        <v>24988</v>
      </c>
      <c r="K47" s="18">
        <f t="shared" si="0"/>
        <v>11.619319446418272</v>
      </c>
      <c r="L47" s="18">
        <v>3.6136692380089805E-2</v>
      </c>
      <c r="M47" s="20">
        <v>6</v>
      </c>
      <c r="N47" s="21">
        <v>0.66959999999999997</v>
      </c>
    </row>
    <row r="48" spans="1:14" s="5" customFormat="1" ht="12.5" x14ac:dyDescent="0.25">
      <c r="A48" s="16">
        <v>2014</v>
      </c>
      <c r="B48" s="16" t="s">
        <v>15</v>
      </c>
      <c r="C48" s="17">
        <v>941919</v>
      </c>
      <c r="D48" s="17">
        <v>821675</v>
      </c>
      <c r="E48" s="17">
        <v>120244</v>
      </c>
      <c r="F48" s="17">
        <v>34459</v>
      </c>
      <c r="G48" s="17">
        <v>28383</v>
      </c>
      <c r="H48" s="17">
        <v>130654</v>
      </c>
      <c r="I48" s="17">
        <v>407418</v>
      </c>
      <c r="J48" s="17">
        <v>24004</v>
      </c>
      <c r="K48" s="18">
        <f t="shared" si="0"/>
        <v>11.780307886630112</v>
      </c>
      <c r="L48" s="18">
        <v>3.2747698041795642E-2</v>
      </c>
      <c r="M48" s="20">
        <v>7</v>
      </c>
      <c r="N48" s="21">
        <v>0.66959999999999997</v>
      </c>
    </row>
    <row r="49" spans="1:14" s="5" customFormat="1" ht="12.5" x14ac:dyDescent="0.25">
      <c r="A49" s="16">
        <v>2015</v>
      </c>
      <c r="B49" s="16" t="s">
        <v>15</v>
      </c>
      <c r="C49" s="17">
        <v>937564</v>
      </c>
      <c r="D49" s="17">
        <v>808597</v>
      </c>
      <c r="E49" s="17">
        <v>128967</v>
      </c>
      <c r="F49" s="17">
        <v>18891</v>
      </c>
      <c r="G49" s="17">
        <v>15082</v>
      </c>
      <c r="H49" s="17">
        <v>140027</v>
      </c>
      <c r="I49" s="17">
        <v>380295</v>
      </c>
      <c r="J49" s="17">
        <v>25311</v>
      </c>
      <c r="K49" s="18">
        <f t="shared" si="0"/>
        <v>11.849590540139751</v>
      </c>
      <c r="L49" s="18">
        <v>2.5413374947858326E-2</v>
      </c>
      <c r="M49" s="20">
        <v>8</v>
      </c>
      <c r="N49" s="21">
        <v>0.66959999999999997</v>
      </c>
    </row>
    <row r="50" spans="1:14" s="5" customFormat="1" ht="12.5" x14ac:dyDescent="0.25">
      <c r="A50" s="16">
        <v>2016</v>
      </c>
      <c r="B50" s="16" t="s">
        <v>15</v>
      </c>
      <c r="C50" s="17">
        <v>1053523</v>
      </c>
      <c r="D50" s="17">
        <v>912725</v>
      </c>
      <c r="E50" s="17">
        <v>143268</v>
      </c>
      <c r="F50" s="17">
        <v>28520</v>
      </c>
      <c r="G50" s="17">
        <v>201295</v>
      </c>
      <c r="H50" s="17">
        <v>156425</v>
      </c>
      <c r="I50" s="17">
        <v>368229</v>
      </c>
      <c r="J50" s="17">
        <v>22962</v>
      </c>
      <c r="K50" s="18">
        <f t="shared" si="0"/>
        <v>11.960331940866563</v>
      </c>
      <c r="L50" s="18">
        <v>2.6996557035039743E-2</v>
      </c>
      <c r="M50" s="20">
        <v>9</v>
      </c>
      <c r="N50" s="21">
        <v>0.18859999999999999</v>
      </c>
    </row>
    <row r="51" spans="1:14" s="5" customFormat="1" ht="12.5" x14ac:dyDescent="0.25">
      <c r="A51" s="16">
        <v>2017</v>
      </c>
      <c r="B51" s="16" t="s">
        <v>15</v>
      </c>
      <c r="C51" s="17">
        <v>1332670</v>
      </c>
      <c r="D51" s="17">
        <v>1193970</v>
      </c>
      <c r="E51" s="17">
        <v>185218</v>
      </c>
      <c r="F51" s="17">
        <v>49281</v>
      </c>
      <c r="G51" s="17">
        <v>131796</v>
      </c>
      <c r="H51" s="17">
        <v>166437</v>
      </c>
      <c r="I51" s="17">
        <v>381323</v>
      </c>
      <c r="J51" s="17">
        <v>18597</v>
      </c>
      <c r="K51" s="18">
        <f t="shared" si="0"/>
        <v>12.022372138421096</v>
      </c>
      <c r="L51" s="18">
        <v>2.1795442529493898E-2</v>
      </c>
      <c r="M51" s="20">
        <v>10</v>
      </c>
      <c r="N51" s="21">
        <v>0.18859999999999999</v>
      </c>
    </row>
    <row r="52" spans="1:14" s="5" customFormat="1" ht="12.5" x14ac:dyDescent="0.25">
      <c r="A52" s="16">
        <v>2018</v>
      </c>
      <c r="B52" s="16" t="s">
        <v>15</v>
      </c>
      <c r="C52" s="17">
        <v>1663661</v>
      </c>
      <c r="D52" s="17">
        <v>1423994</v>
      </c>
      <c r="E52" s="17">
        <v>238663</v>
      </c>
      <c r="F52" s="17">
        <v>74440</v>
      </c>
      <c r="G52" s="17">
        <v>112820</v>
      </c>
      <c r="H52" s="17">
        <v>222360</v>
      </c>
      <c r="I52" s="17">
        <v>441261</v>
      </c>
      <c r="J52" s="17">
        <v>18004</v>
      </c>
      <c r="K52" s="18">
        <f t="shared" si="0"/>
        <v>12.312052969067405</v>
      </c>
      <c r="L52" s="18">
        <v>1.5783862852130962E-2</v>
      </c>
      <c r="M52" s="20">
        <v>11</v>
      </c>
      <c r="N52" s="21">
        <v>0.27060000000000001</v>
      </c>
    </row>
    <row r="53" spans="1:14" s="5" customFormat="1" ht="12.5" x14ac:dyDescent="0.25">
      <c r="A53" s="16">
        <v>2019</v>
      </c>
      <c r="B53" s="16" t="s">
        <v>15</v>
      </c>
      <c r="C53" s="17">
        <v>1876456</v>
      </c>
      <c r="D53" s="17">
        <v>1574227</v>
      </c>
      <c r="E53" s="17">
        <v>302225</v>
      </c>
      <c r="F53" s="17">
        <v>75028</v>
      </c>
      <c r="G53" s="17">
        <v>-225363</v>
      </c>
      <c r="H53" s="17">
        <v>233808</v>
      </c>
      <c r="I53" s="17">
        <v>535170</v>
      </c>
      <c r="J53" s="17">
        <v>27778</v>
      </c>
      <c r="K53" s="18">
        <f t="shared" si="0"/>
        <v>12.362255544714433</v>
      </c>
      <c r="L53" s="18">
        <v>1.1255918985391813E-2</v>
      </c>
      <c r="M53" s="20">
        <v>12</v>
      </c>
      <c r="N53" s="21">
        <v>0.27060000000000001</v>
      </c>
    </row>
    <row r="54" spans="1:14" s="5" customFormat="1" ht="12.5" x14ac:dyDescent="0.25">
      <c r="A54" s="16">
        <v>2020</v>
      </c>
      <c r="B54" s="16" t="s">
        <v>15</v>
      </c>
      <c r="C54" s="17">
        <v>2486306</v>
      </c>
      <c r="D54" s="17">
        <v>2107705</v>
      </c>
      <c r="E54" s="17">
        <v>378601</v>
      </c>
      <c r="F54" s="17">
        <v>83211</v>
      </c>
      <c r="G54" s="17">
        <v>495438</v>
      </c>
      <c r="H54" s="17">
        <v>234446</v>
      </c>
      <c r="I54" s="17">
        <v>632967</v>
      </c>
      <c r="J54" s="17">
        <v>30728</v>
      </c>
      <c r="K54" s="18">
        <f t="shared" si="0"/>
        <v>12.364980563165108</v>
      </c>
      <c r="L54" s="18">
        <v>1.4803437970301462E-2</v>
      </c>
      <c r="M54" s="20">
        <v>13</v>
      </c>
      <c r="N54" s="21">
        <v>0.27060000000000001</v>
      </c>
    </row>
    <row r="55" spans="1:14" s="5" customFormat="1" ht="12.5" x14ac:dyDescent="0.25">
      <c r="A55" s="16">
        <v>2021</v>
      </c>
      <c r="B55" s="16" t="s">
        <v>15</v>
      </c>
      <c r="C55" s="17">
        <v>2742764</v>
      </c>
      <c r="D55" s="17">
        <v>2365898</v>
      </c>
      <c r="E55" s="17">
        <v>376866</v>
      </c>
      <c r="F55" s="17">
        <v>56966</v>
      </c>
      <c r="G55" s="17">
        <v>83601</v>
      </c>
      <c r="H55" s="17">
        <v>206644</v>
      </c>
      <c r="I55" s="17">
        <v>937140</v>
      </c>
      <c r="J55" s="17">
        <v>42720</v>
      </c>
      <c r="K55" s="18">
        <f t="shared" si="0"/>
        <v>12.238752784918802</v>
      </c>
      <c r="L55" s="18">
        <v>1.2358897094726071E-2</v>
      </c>
      <c r="M55" s="20">
        <v>14</v>
      </c>
      <c r="N55" s="21">
        <v>0.27060000000000001</v>
      </c>
    </row>
    <row r="56" spans="1:14" s="5" customFormat="1" ht="12.5" x14ac:dyDescent="0.25">
      <c r="A56" s="16">
        <v>2022</v>
      </c>
      <c r="B56" s="16" t="s">
        <v>15</v>
      </c>
      <c r="C56" s="17">
        <v>3029026</v>
      </c>
      <c r="D56" s="17">
        <v>2621356</v>
      </c>
      <c r="E56" s="17">
        <v>407670</v>
      </c>
      <c r="F56" s="17">
        <v>80834</v>
      </c>
      <c r="G56" s="17">
        <v>-84232</v>
      </c>
      <c r="H56" s="17">
        <v>287537</v>
      </c>
      <c r="I56" s="17">
        <v>937140</v>
      </c>
      <c r="J56" s="17">
        <v>61548</v>
      </c>
      <c r="K56" s="18">
        <f t="shared" si="0"/>
        <v>12.569106826591142</v>
      </c>
      <c r="L56" s="18">
        <v>1.5575528919002874E-2</v>
      </c>
      <c r="M56" s="20">
        <v>15</v>
      </c>
      <c r="N56" s="21">
        <v>0.27060000000000001</v>
      </c>
    </row>
    <row r="57" spans="1:14" s="5" customFormat="1" ht="12.5" x14ac:dyDescent="0.25">
      <c r="A57" s="16">
        <v>2012</v>
      </c>
      <c r="B57" s="16" t="s">
        <v>8</v>
      </c>
      <c r="C57" s="17">
        <v>580225940</v>
      </c>
      <c r="D57" s="17">
        <v>533583546</v>
      </c>
      <c r="E57" s="17">
        <v>580225940</v>
      </c>
      <c r="F57" s="17">
        <v>6953539</v>
      </c>
      <c r="G57" s="17">
        <v>14879023</v>
      </c>
      <c r="H57" s="17">
        <v>68856815</v>
      </c>
      <c r="I57" s="17">
        <v>229420874</v>
      </c>
      <c r="J57" s="17"/>
      <c r="K57" s="18">
        <f t="shared" si="0"/>
        <v>18.047539761537436</v>
      </c>
      <c r="L57" s="18"/>
      <c r="M57" s="20"/>
      <c r="N57" s="21"/>
    </row>
    <row r="58" spans="1:14" s="5" customFormat="1" ht="12.5" x14ac:dyDescent="0.25">
      <c r="A58" s="16">
        <v>2013</v>
      </c>
      <c r="B58" s="16" t="s">
        <v>8</v>
      </c>
      <c r="C58" s="17">
        <v>707797181</v>
      </c>
      <c r="D58" s="17">
        <v>644339285</v>
      </c>
      <c r="E58" s="17">
        <v>63457896</v>
      </c>
      <c r="F58" s="17">
        <v>8274864</v>
      </c>
      <c r="G58" s="17">
        <v>-43952582</v>
      </c>
      <c r="H58" s="17">
        <v>91742770</v>
      </c>
      <c r="I58" s="17">
        <v>321743748</v>
      </c>
      <c r="J58" s="17">
        <v>9069368</v>
      </c>
      <c r="K58" s="18">
        <f t="shared" si="0"/>
        <v>18.334499240704066</v>
      </c>
      <c r="L58" s="18">
        <v>1.3431519452577388E-2</v>
      </c>
      <c r="M58" s="20">
        <v>55</v>
      </c>
      <c r="N58" s="21">
        <v>15.584099999999999</v>
      </c>
    </row>
    <row r="59" spans="1:14" s="5" customFormat="1" ht="12.5" x14ac:dyDescent="0.25">
      <c r="A59" s="16">
        <v>2014</v>
      </c>
      <c r="B59" s="16" t="s">
        <v>8</v>
      </c>
      <c r="C59" s="17">
        <v>824539426</v>
      </c>
      <c r="D59" s="17">
        <v>739824141</v>
      </c>
      <c r="E59" s="17">
        <v>84715285</v>
      </c>
      <c r="F59" s="17">
        <v>9004973</v>
      </c>
      <c r="G59" s="17">
        <v>-755006</v>
      </c>
      <c r="H59" s="17">
        <v>103677466</v>
      </c>
      <c r="I59" s="17">
        <v>371246273</v>
      </c>
      <c r="J59" s="17">
        <v>13952027</v>
      </c>
      <c r="K59" s="18">
        <f t="shared" si="0"/>
        <v>18.456795349683144</v>
      </c>
      <c r="L59" s="18">
        <v>1.2813512462972073E-2</v>
      </c>
      <c r="M59" s="20">
        <v>56</v>
      </c>
      <c r="N59" s="21">
        <v>15.584099999999999</v>
      </c>
    </row>
    <row r="60" spans="1:14" s="5" customFormat="1" ht="12.5" x14ac:dyDescent="0.25">
      <c r="A60" s="16">
        <v>2015</v>
      </c>
      <c r="B60" s="16" t="s">
        <v>8</v>
      </c>
      <c r="C60" s="17">
        <v>799451417</v>
      </c>
      <c r="D60" s="17">
        <v>703885670</v>
      </c>
      <c r="E60" s="17">
        <v>10292577</v>
      </c>
      <c r="F60" s="17">
        <v>10292577</v>
      </c>
      <c r="G60" s="17">
        <v>54691995</v>
      </c>
      <c r="H60" s="17">
        <v>110193835</v>
      </c>
      <c r="I60" s="17">
        <v>338726271</v>
      </c>
      <c r="J60" s="17">
        <v>15258217</v>
      </c>
      <c r="K60" s="18">
        <f t="shared" si="0"/>
        <v>18.517751509379522</v>
      </c>
      <c r="L60" s="18">
        <v>1.6920994387962698E-2</v>
      </c>
      <c r="M60" s="20">
        <v>57</v>
      </c>
      <c r="N60" s="21">
        <v>15.584099999999999</v>
      </c>
    </row>
    <row r="61" spans="1:14" s="5" customFormat="1" ht="12.5" x14ac:dyDescent="0.25">
      <c r="A61" s="16">
        <v>2016</v>
      </c>
      <c r="B61" s="16" t="s">
        <v>8</v>
      </c>
      <c r="C61" s="17">
        <v>830802224</v>
      </c>
      <c r="D61" s="17">
        <v>745123602</v>
      </c>
      <c r="E61" s="17">
        <v>85678622</v>
      </c>
      <c r="F61" s="17">
        <v>5180964</v>
      </c>
      <c r="G61" s="17">
        <v>-124892482</v>
      </c>
      <c r="H61" s="17">
        <v>111238000</v>
      </c>
      <c r="I61" s="17">
        <v>468250000</v>
      </c>
      <c r="J61" s="17">
        <v>14604187</v>
      </c>
      <c r="K61" s="18">
        <f t="shared" si="0"/>
        <v>18.527182608024219</v>
      </c>
      <c r="L61" s="18">
        <v>1.9085763477915116E-2</v>
      </c>
      <c r="M61" s="20">
        <v>58</v>
      </c>
      <c r="N61" s="21">
        <v>15.584099999999999</v>
      </c>
    </row>
    <row r="62" spans="1:14" s="5" customFormat="1" ht="12.5" x14ac:dyDescent="0.25">
      <c r="A62" s="16">
        <v>2017</v>
      </c>
      <c r="B62" s="16" t="s">
        <v>8</v>
      </c>
      <c r="C62" s="17">
        <v>1068798000</v>
      </c>
      <c r="D62" s="17">
        <v>965905000</v>
      </c>
      <c r="E62" s="17">
        <v>102893000</v>
      </c>
      <c r="F62" s="17">
        <v>8455000</v>
      </c>
      <c r="G62" s="17">
        <v>-46542000</v>
      </c>
      <c r="H62" s="17">
        <v>133022000</v>
      </c>
      <c r="I62" s="17">
        <v>598073000</v>
      </c>
      <c r="J62" s="17">
        <v>16451000</v>
      </c>
      <c r="K62" s="18">
        <f t="shared" si="0"/>
        <v>18.706025086040551</v>
      </c>
      <c r="L62" s="18">
        <v>1.7507028225405976E-2</v>
      </c>
      <c r="M62" s="20">
        <v>59</v>
      </c>
      <c r="N62" s="21">
        <v>15.584099999999999</v>
      </c>
    </row>
    <row r="63" spans="1:14" s="5" customFormat="1" ht="12.5" x14ac:dyDescent="0.25">
      <c r="A63" s="16">
        <v>2018</v>
      </c>
      <c r="B63" s="16" t="s">
        <v>8</v>
      </c>
      <c r="C63" s="17">
        <v>1085876000</v>
      </c>
      <c r="D63" s="17">
        <v>987867000</v>
      </c>
      <c r="E63" s="17">
        <v>97800000</v>
      </c>
      <c r="F63" s="17">
        <v>9468000</v>
      </c>
      <c r="G63" s="17">
        <v>35056000</v>
      </c>
      <c r="H63" s="17">
        <v>147791000</v>
      </c>
      <c r="I63" s="17">
        <v>621017000</v>
      </c>
      <c r="J63" s="17">
        <v>16942000</v>
      </c>
      <c r="K63" s="18">
        <f t="shared" si="0"/>
        <v>18.811309671525532</v>
      </c>
      <c r="L63" s="18">
        <v>1.5343205238570006E-2</v>
      </c>
      <c r="M63" s="20">
        <v>60</v>
      </c>
      <c r="N63" s="21">
        <v>5.6795</v>
      </c>
    </row>
    <row r="64" spans="1:14" s="5" customFormat="1" ht="12.5" x14ac:dyDescent="0.25">
      <c r="A64" s="16">
        <v>2019</v>
      </c>
      <c r="B64" s="16" t="s">
        <v>8</v>
      </c>
      <c r="C64" s="17">
        <v>1165509000</v>
      </c>
      <c r="D64" s="17">
        <v>1046181000</v>
      </c>
      <c r="E64" s="17">
        <v>119328000</v>
      </c>
      <c r="F64" s="17">
        <v>10163000</v>
      </c>
      <c r="G64" s="17">
        <v>114414000</v>
      </c>
      <c r="H64" s="17">
        <v>147439000</v>
      </c>
      <c r="I64" s="17">
        <v>618732000</v>
      </c>
      <c r="J64" s="17">
        <v>18476000</v>
      </c>
      <c r="K64" s="18">
        <f t="shared" si="0"/>
        <v>18.808925088882873</v>
      </c>
      <c r="L64" s="18">
        <v>1.5361027671066197E-2</v>
      </c>
      <c r="M64" s="20">
        <v>61</v>
      </c>
      <c r="N64" s="21">
        <v>5.6795</v>
      </c>
    </row>
    <row r="65" spans="1:14" s="5" customFormat="1" ht="12.5" x14ac:dyDescent="0.25">
      <c r="A65" s="16">
        <v>2020</v>
      </c>
      <c r="B65" s="16" t="s">
        <v>8</v>
      </c>
      <c r="C65" s="17">
        <v>1281830000</v>
      </c>
      <c r="D65" s="17">
        <v>1146440000</v>
      </c>
      <c r="E65" s="17">
        <v>135390000</v>
      </c>
      <c r="F65" s="17">
        <v>11110000</v>
      </c>
      <c r="G65" s="17">
        <v>4406000</v>
      </c>
      <c r="H65" s="17">
        <v>133413000</v>
      </c>
      <c r="I65" s="17">
        <v>596827000</v>
      </c>
      <c r="J65" s="17">
        <v>15956000</v>
      </c>
      <c r="K65" s="18">
        <f t="shared" si="0"/>
        <v>18.708960137972092</v>
      </c>
      <c r="L65" s="18">
        <v>1.5622080266512215E-2</v>
      </c>
      <c r="M65" s="20">
        <v>62</v>
      </c>
      <c r="N65" s="21">
        <v>5.6795</v>
      </c>
    </row>
    <row r="66" spans="1:14" s="5" customFormat="1" ht="12.5" x14ac:dyDescent="0.25">
      <c r="A66" s="16">
        <v>2021</v>
      </c>
      <c r="B66" s="16" t="s">
        <v>8</v>
      </c>
      <c r="C66" s="17">
        <v>1611749000</v>
      </c>
      <c r="D66" s="17">
        <v>1470733000</v>
      </c>
      <c r="E66" s="17">
        <v>141016000</v>
      </c>
      <c r="F66" s="17">
        <v>13403000</v>
      </c>
      <c r="G66" s="17">
        <v>145027000</v>
      </c>
      <c r="H66" s="17">
        <v>144759000</v>
      </c>
      <c r="I66" s="17">
        <v>711900000</v>
      </c>
      <c r="J66" s="17">
        <v>16939000</v>
      </c>
      <c r="K66" s="18">
        <f t="shared" si="0"/>
        <v>18.790580848650325</v>
      </c>
      <c r="L66" s="18">
        <v>1.2282585685968862E-2</v>
      </c>
      <c r="M66" s="20">
        <v>63</v>
      </c>
      <c r="N66" s="21">
        <v>5.6795</v>
      </c>
    </row>
    <row r="67" spans="1:14" s="5" customFormat="1" ht="12.5" x14ac:dyDescent="0.25">
      <c r="A67" s="16">
        <v>2022</v>
      </c>
      <c r="B67" s="16" t="s">
        <v>8</v>
      </c>
      <c r="C67" s="17">
        <v>1857992000</v>
      </c>
      <c r="D67" s="17">
        <v>1703994000</v>
      </c>
      <c r="E67" s="17">
        <v>153552000</v>
      </c>
      <c r="F67" s="17">
        <v>19327000</v>
      </c>
      <c r="G67" s="17">
        <v>70837000</v>
      </c>
      <c r="H67" s="17">
        <v>144448000</v>
      </c>
      <c r="I67" s="17">
        <v>100441000</v>
      </c>
      <c r="J67" s="17">
        <v>17913000</v>
      </c>
      <c r="K67" s="18">
        <f t="shared" ref="K67:K111" si="1">LN(H67)</f>
        <v>18.788430139159345</v>
      </c>
      <c r="L67" s="18">
        <v>1.0397580547642329E-2</v>
      </c>
      <c r="M67" s="20">
        <v>64</v>
      </c>
      <c r="N67" s="21">
        <v>5.6795</v>
      </c>
    </row>
    <row r="68" spans="1:14" s="5" customFormat="1" ht="12.5" x14ac:dyDescent="0.25">
      <c r="A68" s="16">
        <v>2012</v>
      </c>
      <c r="B68" s="16" t="s">
        <v>5</v>
      </c>
      <c r="C68" s="17">
        <v>1933065000</v>
      </c>
      <c r="D68" s="17">
        <v>1712748000</v>
      </c>
      <c r="E68" s="17">
        <v>220317000</v>
      </c>
      <c r="F68" s="17">
        <v>47375000</v>
      </c>
      <c r="G68" s="17">
        <v>202622000</v>
      </c>
      <c r="H68" s="17">
        <v>177429</v>
      </c>
      <c r="I68" s="17">
        <v>598592</v>
      </c>
      <c r="J68" s="17"/>
      <c r="K68" s="18">
        <f t="shared" si="1"/>
        <v>12.086325807876268</v>
      </c>
      <c r="L68" s="18"/>
      <c r="M68" s="20"/>
      <c r="N68" s="21"/>
    </row>
    <row r="69" spans="1:14" s="5" customFormat="1" ht="12.5" x14ac:dyDescent="0.25">
      <c r="A69" s="16">
        <v>2013</v>
      </c>
      <c r="B69" s="16" t="s">
        <v>5</v>
      </c>
      <c r="C69" s="17">
        <v>2217417000</v>
      </c>
      <c r="D69" s="17">
        <v>1957879000</v>
      </c>
      <c r="E69" s="17">
        <v>259538000</v>
      </c>
      <c r="F69" s="17">
        <v>46483000</v>
      </c>
      <c r="G69" s="17">
        <v>136105000</v>
      </c>
      <c r="H69" s="17">
        <v>214273</v>
      </c>
      <c r="I69" s="17">
        <v>823193</v>
      </c>
      <c r="J69" s="17">
        <v>67661</v>
      </c>
      <c r="K69" s="18">
        <f t="shared" si="1"/>
        <v>12.2750061819235</v>
      </c>
      <c r="L69" s="18">
        <v>2.853919470036665E-2</v>
      </c>
      <c r="M69" s="20">
        <v>64</v>
      </c>
      <c r="N69" s="21">
        <v>1.1315999999999999</v>
      </c>
    </row>
    <row r="70" spans="1:14" s="5" customFormat="1" ht="12.5" x14ac:dyDescent="0.25">
      <c r="A70" s="16">
        <v>2014</v>
      </c>
      <c r="B70" s="16" t="s">
        <v>5</v>
      </c>
      <c r="C70" s="17">
        <v>2338858000</v>
      </c>
      <c r="D70" s="17">
        <v>2056925000</v>
      </c>
      <c r="E70" s="17">
        <v>281933000</v>
      </c>
      <c r="F70" s="17">
        <v>40083000</v>
      </c>
      <c r="G70" s="17">
        <v>-92619000</v>
      </c>
      <c r="H70" s="17">
        <v>314844</v>
      </c>
      <c r="I70" s="17">
        <v>933578</v>
      </c>
      <c r="J70" s="17">
        <v>81050</v>
      </c>
      <c r="K70" s="18">
        <f t="shared" si="1"/>
        <v>12.659832557041645</v>
      </c>
      <c r="L70" s="18">
        <v>3.2403487618245741E-2</v>
      </c>
      <c r="M70" s="20">
        <v>65</v>
      </c>
      <c r="N70" s="21">
        <v>1.1315999999999999</v>
      </c>
    </row>
    <row r="71" spans="1:14" s="5" customFormat="1" ht="12.5" x14ac:dyDescent="0.25">
      <c r="A71" s="16">
        <v>2015</v>
      </c>
      <c r="B71" s="16" t="s">
        <v>5</v>
      </c>
      <c r="C71" s="17">
        <v>2216337000</v>
      </c>
      <c r="D71" s="17">
        <v>1878106000</v>
      </c>
      <c r="E71" s="17">
        <v>338231000</v>
      </c>
      <c r="F71" s="17">
        <v>47642000</v>
      </c>
      <c r="G71" s="17">
        <v>58408000</v>
      </c>
      <c r="H71" s="17">
        <v>383647</v>
      </c>
      <c r="I71" s="17">
        <v>824153</v>
      </c>
      <c r="J71" s="17">
        <v>80145</v>
      </c>
      <c r="K71" s="18">
        <f t="shared" si="1"/>
        <v>12.857478137947973</v>
      </c>
      <c r="L71" s="18">
        <v>3.2269232753352986E-2</v>
      </c>
      <c r="M71" s="20">
        <v>66</v>
      </c>
      <c r="N71" s="21">
        <v>1.1315999999999999</v>
      </c>
    </row>
    <row r="72" spans="1:14" s="5" customFormat="1" ht="12.5" x14ac:dyDescent="0.25">
      <c r="A72" s="16">
        <v>2016</v>
      </c>
      <c r="B72" s="16" t="s">
        <v>5</v>
      </c>
      <c r="C72" s="17">
        <v>2539585000</v>
      </c>
      <c r="D72" s="17">
        <v>2148685000</v>
      </c>
      <c r="E72" s="17">
        <v>390900000</v>
      </c>
      <c r="F72" s="17">
        <v>47541000</v>
      </c>
      <c r="G72" s="17">
        <v>-213392000</v>
      </c>
      <c r="H72" s="17">
        <v>269895</v>
      </c>
      <c r="I72" s="17">
        <v>1193188</v>
      </c>
      <c r="J72" s="17">
        <v>80252</v>
      </c>
      <c r="K72" s="18">
        <f t="shared" si="1"/>
        <v>12.505788273454728</v>
      </c>
      <c r="L72" s="18">
        <v>2.6803482409608299E-2</v>
      </c>
      <c r="M72" s="20">
        <v>67</v>
      </c>
      <c r="N72" s="21">
        <v>1.1315999999999999</v>
      </c>
    </row>
    <row r="73" spans="1:14" s="5" customFormat="1" ht="12.5" x14ac:dyDescent="0.25">
      <c r="A73" s="16">
        <v>2017</v>
      </c>
      <c r="B73" s="16" t="s">
        <v>5</v>
      </c>
      <c r="C73" s="17">
        <v>2931826000</v>
      </c>
      <c r="D73" s="17">
        <v>2529311000</v>
      </c>
      <c r="E73" s="17">
        <v>402515000</v>
      </c>
      <c r="F73" s="17">
        <v>42438000</v>
      </c>
      <c r="G73" s="17">
        <v>59151000</v>
      </c>
      <c r="H73" s="17">
        <v>316272</v>
      </c>
      <c r="I73" s="17">
        <v>1469512</v>
      </c>
      <c r="J73" s="17">
        <v>89285</v>
      </c>
      <c r="K73" s="18">
        <f t="shared" si="1"/>
        <v>12.664357881821712</v>
      </c>
      <c r="L73" s="18">
        <v>2.6449609949590537E-2</v>
      </c>
      <c r="M73" s="20">
        <v>68</v>
      </c>
      <c r="N73" s="21">
        <v>1.0682</v>
      </c>
    </row>
    <row r="74" spans="1:14" s="5" customFormat="1" ht="12.5" x14ac:dyDescent="0.25">
      <c r="A74" s="16">
        <v>2018</v>
      </c>
      <c r="B74" s="16" t="s">
        <v>5</v>
      </c>
      <c r="C74" s="17">
        <v>3591305000</v>
      </c>
      <c r="D74" s="17">
        <v>3226707000</v>
      </c>
      <c r="E74" s="17">
        <v>364598000</v>
      </c>
      <c r="F74" s="17">
        <v>41047000</v>
      </c>
      <c r="G74" s="17">
        <v>488626000</v>
      </c>
      <c r="H74" s="17">
        <v>341504</v>
      </c>
      <c r="I74" s="17">
        <v>1229317</v>
      </c>
      <c r="J74" s="17">
        <v>97502</v>
      </c>
      <c r="K74" s="18">
        <f t="shared" si="1"/>
        <v>12.741114670955131</v>
      </c>
      <c r="L74" s="18">
        <v>2.3815038919958322E-2</v>
      </c>
      <c r="M74" s="20">
        <v>69</v>
      </c>
      <c r="N74" s="21">
        <v>1.0682</v>
      </c>
    </row>
    <row r="75" spans="1:14" s="5" customFormat="1" ht="12.5" x14ac:dyDescent="0.25">
      <c r="A75" s="16">
        <v>2019</v>
      </c>
      <c r="B75" s="16" t="s">
        <v>5</v>
      </c>
      <c r="C75" s="17">
        <v>4136493000</v>
      </c>
      <c r="D75" s="17">
        <v>3689971000</v>
      </c>
      <c r="E75" s="17">
        <v>446522000</v>
      </c>
      <c r="F75" s="17">
        <v>62750000</v>
      </c>
      <c r="G75" s="17">
        <v>-317453000</v>
      </c>
      <c r="H75" s="17">
        <v>406600</v>
      </c>
      <c r="I75" s="17">
        <v>1603229</v>
      </c>
      <c r="J75" s="17">
        <v>107448</v>
      </c>
      <c r="K75" s="18">
        <f t="shared" si="1"/>
        <v>12.915585180176384</v>
      </c>
      <c r="L75" s="18">
        <v>2.2929658754058672E-2</v>
      </c>
      <c r="M75" s="20">
        <v>70</v>
      </c>
      <c r="N75" s="21">
        <v>1.0682</v>
      </c>
    </row>
    <row r="76" spans="1:14" s="5" customFormat="1" ht="12.5" x14ac:dyDescent="0.25">
      <c r="A76" s="16">
        <v>2020</v>
      </c>
      <c r="B76" s="16" t="s">
        <v>5</v>
      </c>
      <c r="C76" s="17">
        <v>5207833000</v>
      </c>
      <c r="D76" s="17">
        <v>4729893000</v>
      </c>
      <c r="E76" s="17">
        <v>477940000</v>
      </c>
      <c r="F76" s="17">
        <v>56911000</v>
      </c>
      <c r="G76" s="17">
        <v>735114000</v>
      </c>
      <c r="H76" s="17">
        <v>381476</v>
      </c>
      <c r="I76" s="17">
        <v>1877594</v>
      </c>
      <c r="J76" s="17">
        <v>123435</v>
      </c>
      <c r="K76" s="18">
        <f t="shared" si="1"/>
        <v>12.851803218160262</v>
      </c>
      <c r="L76" s="18">
        <v>1.9900155625241948E-2</v>
      </c>
      <c r="M76" s="20">
        <v>71</v>
      </c>
      <c r="N76" s="21">
        <v>1.0900000000000001</v>
      </c>
    </row>
    <row r="77" spans="1:14" s="5" customFormat="1" ht="12.5" x14ac:dyDescent="0.25">
      <c r="A77" s="16">
        <v>2021</v>
      </c>
      <c r="B77" s="16" t="s">
        <v>5</v>
      </c>
      <c r="C77" s="17">
        <v>5574976000</v>
      </c>
      <c r="D77" s="17">
        <v>5073375000</v>
      </c>
      <c r="E77" s="17">
        <v>501601000</v>
      </c>
      <c r="F77" s="17">
        <v>58669000</v>
      </c>
      <c r="G77" s="17">
        <v>671618000</v>
      </c>
      <c r="H77" s="17">
        <v>381493</v>
      </c>
      <c r="I77" s="17">
        <v>1968226</v>
      </c>
      <c r="J77" s="17">
        <v>141581</v>
      </c>
      <c r="K77" s="18">
        <f t="shared" si="1"/>
        <v>12.851847780914458</v>
      </c>
      <c r="L77" s="18">
        <v>2.0853573183904406E-2</v>
      </c>
      <c r="M77" s="20">
        <v>72</v>
      </c>
      <c r="N77" s="21">
        <v>1.0900000000000001</v>
      </c>
    </row>
    <row r="78" spans="1:14" s="5" customFormat="1" ht="12.5" x14ac:dyDescent="0.25">
      <c r="A78" s="16">
        <v>2022</v>
      </c>
      <c r="B78" s="16" t="s">
        <v>5</v>
      </c>
      <c r="C78" s="17">
        <v>7361044000</v>
      </c>
      <c r="D78" s="17">
        <v>6775851000</v>
      </c>
      <c r="E78" s="17">
        <v>585193000</v>
      </c>
      <c r="F78" s="17">
        <v>133696000</v>
      </c>
      <c r="G78" s="17">
        <v>1063228000</v>
      </c>
      <c r="H78" s="17">
        <v>528519</v>
      </c>
      <c r="I78" s="17">
        <v>2354850</v>
      </c>
      <c r="J78" s="17">
        <v>163841</v>
      </c>
      <c r="K78" s="18">
        <f t="shared" si="1"/>
        <v>13.177834034450377</v>
      </c>
      <c r="L78" s="18">
        <v>1.9900155625241948E-2</v>
      </c>
      <c r="M78" s="20">
        <v>73</v>
      </c>
      <c r="N78" s="21">
        <v>1.0900000000000001</v>
      </c>
    </row>
    <row r="79" spans="1:14" s="5" customFormat="1" ht="12.5" x14ac:dyDescent="0.25">
      <c r="A79" s="16">
        <v>2012</v>
      </c>
      <c r="B79" s="16" t="s">
        <v>10</v>
      </c>
      <c r="C79" s="17">
        <v>886468000</v>
      </c>
      <c r="D79" s="17">
        <v>714797000</v>
      </c>
      <c r="E79" s="17">
        <v>171671000</v>
      </c>
      <c r="F79" s="17">
        <v>3170000</v>
      </c>
      <c r="G79" s="17">
        <v>109603000</v>
      </c>
      <c r="H79" s="17">
        <v>96484000</v>
      </c>
      <c r="I79" s="17">
        <v>136980000</v>
      </c>
      <c r="J79" s="17"/>
      <c r="K79" s="18">
        <f t="shared" si="1"/>
        <v>18.384887749453551</v>
      </c>
      <c r="L79" s="18"/>
      <c r="M79" s="20"/>
      <c r="N79" s="21"/>
    </row>
    <row r="80" spans="1:14" s="5" customFormat="1" ht="12.5" x14ac:dyDescent="0.25">
      <c r="A80" s="16">
        <v>2013</v>
      </c>
      <c r="B80" s="16" t="s">
        <v>10</v>
      </c>
      <c r="C80" s="17">
        <v>882097000</v>
      </c>
      <c r="D80" s="17">
        <v>694313000</v>
      </c>
      <c r="E80" s="17">
        <v>187784000</v>
      </c>
      <c r="F80" s="17">
        <v>5121000</v>
      </c>
      <c r="G80" s="17">
        <v>-56377000</v>
      </c>
      <c r="H80" s="17">
        <v>103602000</v>
      </c>
      <c r="I80" s="17">
        <v>210118000</v>
      </c>
      <c r="J80" s="17">
        <v>43351000</v>
      </c>
      <c r="K80" s="18">
        <f t="shared" si="1"/>
        <v>18.456067192622623</v>
      </c>
      <c r="L80" s="18">
        <v>4.5401872439556581E-2</v>
      </c>
      <c r="M80" s="20">
        <v>42</v>
      </c>
      <c r="N80" s="21">
        <v>3.8388</v>
      </c>
    </row>
    <row r="81" spans="1:14" s="5" customFormat="1" ht="12.5" x14ac:dyDescent="0.25">
      <c r="A81" s="16">
        <v>2014</v>
      </c>
      <c r="B81" s="16" t="s">
        <v>10</v>
      </c>
      <c r="C81" s="17">
        <v>920936000</v>
      </c>
      <c r="D81" s="17">
        <v>714962000</v>
      </c>
      <c r="E81" s="17">
        <v>205974000</v>
      </c>
      <c r="F81" s="17">
        <v>20486000</v>
      </c>
      <c r="G81" s="17">
        <v>-121957000</v>
      </c>
      <c r="H81" s="17">
        <v>109821000</v>
      </c>
      <c r="I81" s="17">
        <v>302372000</v>
      </c>
      <c r="J81" s="17">
        <v>49428000</v>
      </c>
      <c r="K81" s="18">
        <f t="shared" si="1"/>
        <v>18.514362325583051</v>
      </c>
      <c r="L81" s="18">
        <v>4.9071650892774862E-2</v>
      </c>
      <c r="M81" s="20">
        <v>43</v>
      </c>
      <c r="N81" s="21">
        <v>3.8388</v>
      </c>
    </row>
    <row r="82" spans="1:14" s="5" customFormat="1" ht="12.5" x14ac:dyDescent="0.25">
      <c r="A82" s="16">
        <v>2015</v>
      </c>
      <c r="B82" s="16" t="s">
        <v>10</v>
      </c>
      <c r="C82" s="17">
        <v>998137000</v>
      </c>
      <c r="D82" s="17">
        <v>767469000</v>
      </c>
      <c r="E82" s="17">
        <v>230668000</v>
      </c>
      <c r="F82" s="17">
        <v>17721000</v>
      </c>
      <c r="G82" s="17">
        <v>10975000</v>
      </c>
      <c r="H82" s="17">
        <v>118366000</v>
      </c>
      <c r="I82" s="17">
        <v>3489849000</v>
      </c>
      <c r="J82" s="17">
        <v>49690000</v>
      </c>
      <c r="K82" s="18">
        <f t="shared" si="1"/>
        <v>18.58929207701307</v>
      </c>
      <c r="L82" s="18">
        <v>4.754263094951533E-2</v>
      </c>
      <c r="M82" s="20">
        <v>44</v>
      </c>
      <c r="N82" s="21">
        <v>3.8388</v>
      </c>
    </row>
    <row r="83" spans="1:14" s="5" customFormat="1" ht="12.5" x14ac:dyDescent="0.25">
      <c r="A83" s="16">
        <v>2016</v>
      </c>
      <c r="B83" s="16" t="s">
        <v>10</v>
      </c>
      <c r="C83" s="17">
        <v>1123483000</v>
      </c>
      <c r="D83" s="17">
        <v>872144000</v>
      </c>
      <c r="E83" s="17">
        <v>251339000</v>
      </c>
      <c r="F83" s="17">
        <v>15885000</v>
      </c>
      <c r="G83" s="17">
        <v>-69986000</v>
      </c>
      <c r="H83" s="17">
        <v>123455000</v>
      </c>
      <c r="I83" s="17">
        <v>48989000</v>
      </c>
      <c r="J83" s="17">
        <v>52567000</v>
      </c>
      <c r="K83" s="18">
        <f t="shared" si="1"/>
        <v>18.631387275162894</v>
      </c>
      <c r="L83" s="18">
        <v>4.2149563895705372E-2</v>
      </c>
      <c r="M83" s="20">
        <v>45</v>
      </c>
      <c r="N83" s="21">
        <v>3.8388</v>
      </c>
    </row>
    <row r="84" spans="1:14" s="5" customFormat="1" ht="12.5" x14ac:dyDescent="0.25">
      <c r="A84" s="16">
        <v>2017</v>
      </c>
      <c r="B84" s="16" t="s">
        <v>10</v>
      </c>
      <c r="C84" s="17">
        <v>1334921000</v>
      </c>
      <c r="D84" s="17">
        <v>1013533000</v>
      </c>
      <c r="E84" s="17">
        <v>321388000</v>
      </c>
      <c r="F84" s="17">
        <v>12839000</v>
      </c>
      <c r="G84" s="17">
        <v>68160000</v>
      </c>
      <c r="H84" s="17">
        <v>157556000</v>
      </c>
      <c r="I84" s="17">
        <v>488555000</v>
      </c>
      <c r="J84" s="17">
        <v>55801000</v>
      </c>
      <c r="K84" s="18">
        <f t="shared" si="1"/>
        <v>18.875291508590621</v>
      </c>
      <c r="L84" s="18">
        <v>3.8464075188589804E-2</v>
      </c>
      <c r="M84" s="20">
        <v>46</v>
      </c>
      <c r="N84" s="21">
        <v>3.8388</v>
      </c>
    </row>
    <row r="85" spans="1:14" s="5" customFormat="1" ht="12.5" x14ac:dyDescent="0.25">
      <c r="A85" s="16">
        <v>2018</v>
      </c>
      <c r="B85" s="16" t="s">
        <v>10</v>
      </c>
      <c r="C85" s="17">
        <v>1324297000</v>
      </c>
      <c r="D85" s="17">
        <v>1124210000</v>
      </c>
      <c r="E85" s="17">
        <v>200087000</v>
      </c>
      <c r="F85" s="17">
        <v>18438000</v>
      </c>
      <c r="G85" s="17">
        <v>37394000</v>
      </c>
      <c r="H85" s="17">
        <v>142534000</v>
      </c>
      <c r="I85" s="17">
        <v>428037000</v>
      </c>
      <c r="J85" s="17">
        <v>59830000</v>
      </c>
      <c r="K85" s="18">
        <f t="shared" si="1"/>
        <v>18.775091125704591</v>
      </c>
      <c r="L85" s="18">
        <v>4.09561583159022E-2</v>
      </c>
      <c r="M85" s="20">
        <v>47</v>
      </c>
      <c r="N85" s="21">
        <v>3.8388</v>
      </c>
    </row>
    <row r="86" spans="1:14" s="5" customFormat="1" ht="12.5" x14ac:dyDescent="0.25">
      <c r="A86" s="16">
        <v>2019</v>
      </c>
      <c r="B86" s="16" t="s">
        <v>10</v>
      </c>
      <c r="C86" s="17">
        <v>1711739000</v>
      </c>
      <c r="D86" s="17">
        <v>1480547000</v>
      </c>
      <c r="E86" s="17">
        <v>231192000</v>
      </c>
      <c r="F86" s="17">
        <v>24375000</v>
      </c>
      <c r="G86" s="17">
        <v>207318000</v>
      </c>
      <c r="H86" s="17">
        <v>159861000</v>
      </c>
      <c r="I86" s="17">
        <v>550613000</v>
      </c>
      <c r="J86" s="17">
        <v>57934000</v>
      </c>
      <c r="K86" s="18">
        <f t="shared" si="1"/>
        <v>18.88981524561612</v>
      </c>
      <c r="L86" s="18">
        <v>3.0961991335470899E-2</v>
      </c>
      <c r="M86" s="20">
        <v>48</v>
      </c>
      <c r="N86" s="21">
        <v>3.8388</v>
      </c>
    </row>
    <row r="87" spans="1:14" s="5" customFormat="1" ht="12.5" x14ac:dyDescent="0.25">
      <c r="A87" s="16">
        <v>2020</v>
      </c>
      <c r="B87" s="16" t="s">
        <v>10</v>
      </c>
      <c r="C87" s="17">
        <v>2073758000</v>
      </c>
      <c r="D87" s="17">
        <v>1826237000</v>
      </c>
      <c r="E87" s="17">
        <v>247521000</v>
      </c>
      <c r="F87" s="17">
        <v>24653000</v>
      </c>
      <c r="G87" s="17">
        <v>-35912000</v>
      </c>
      <c r="H87" s="17">
        <v>156885000</v>
      </c>
      <c r="I87" s="17">
        <v>692803000</v>
      </c>
      <c r="J87" s="17">
        <v>57342000</v>
      </c>
      <c r="K87" s="18">
        <f t="shared" si="1"/>
        <v>18.871023610838616</v>
      </c>
      <c r="L87" s="18">
        <v>2.6181341526755046E-2</v>
      </c>
      <c r="M87" s="20">
        <v>49</v>
      </c>
      <c r="N87" s="21">
        <v>3.8388</v>
      </c>
    </row>
    <row r="88" spans="1:14" s="5" customFormat="1" ht="12.5" x14ac:dyDescent="0.25">
      <c r="A88" s="16">
        <v>2021</v>
      </c>
      <c r="B88" s="16" t="s">
        <v>10</v>
      </c>
      <c r="C88" s="17">
        <v>2567441000</v>
      </c>
      <c r="D88" s="17">
        <v>2315954000</v>
      </c>
      <c r="E88" s="17">
        <v>251487000</v>
      </c>
      <c r="F88" s="17">
        <v>19180000</v>
      </c>
      <c r="G88" s="17">
        <v>290088000</v>
      </c>
      <c r="H88" s="17">
        <v>160656000</v>
      </c>
      <c r="I88" s="17">
        <v>868840000</v>
      </c>
      <c r="J88" s="17">
        <v>57653000</v>
      </c>
      <c r="K88" s="18">
        <f t="shared" si="1"/>
        <v>18.894775991101355</v>
      </c>
      <c r="L88" s="18">
        <v>4.09561583159022E-2</v>
      </c>
      <c r="M88" s="20">
        <v>50</v>
      </c>
      <c r="N88" s="21">
        <v>3.8388</v>
      </c>
    </row>
    <row r="89" spans="1:14" s="5" customFormat="1" ht="12.5" x14ac:dyDescent="0.25">
      <c r="A89" s="16">
        <v>2022</v>
      </c>
      <c r="B89" s="16" t="s">
        <v>10</v>
      </c>
      <c r="C89" s="17">
        <v>2793674000</v>
      </c>
      <c r="D89" s="17">
        <v>2503824000</v>
      </c>
      <c r="E89" s="17">
        <v>289850000</v>
      </c>
      <c r="F89" s="17">
        <v>29088000</v>
      </c>
      <c r="G89" s="17">
        <v>80277000</v>
      </c>
      <c r="H89" s="17">
        <v>208172000</v>
      </c>
      <c r="I89" s="17">
        <v>968888000</v>
      </c>
      <c r="J89" s="17">
        <v>53026000</v>
      </c>
      <c r="K89" s="18">
        <f t="shared" si="1"/>
        <v>19.153875219029995</v>
      </c>
      <c r="L89" s="18">
        <v>3.0961991335470899E-2</v>
      </c>
      <c r="M89" s="20">
        <v>51</v>
      </c>
      <c r="N89" s="21">
        <v>3.8845000000000001</v>
      </c>
    </row>
    <row r="90" spans="1:14" s="5" customFormat="1" ht="12.5" x14ac:dyDescent="0.25">
      <c r="A90" s="16">
        <v>2012</v>
      </c>
      <c r="B90" s="16" t="s">
        <v>14</v>
      </c>
      <c r="C90" s="17">
        <v>395720180</v>
      </c>
      <c r="D90" s="17">
        <v>344262498</v>
      </c>
      <c r="E90" s="17">
        <v>51457682</v>
      </c>
      <c r="F90" s="17">
        <v>6180061</v>
      </c>
      <c r="G90" s="17">
        <v>28857282</v>
      </c>
      <c r="H90" s="17">
        <v>53760</v>
      </c>
      <c r="I90" s="17">
        <v>202628</v>
      </c>
      <c r="J90" s="17"/>
      <c r="K90" s="18">
        <f t="shared" si="1"/>
        <v>10.892284975197031</v>
      </c>
      <c r="L90" s="18"/>
      <c r="M90" s="20"/>
      <c r="N90" s="21"/>
    </row>
    <row r="91" spans="1:14" s="5" customFormat="1" ht="12.5" x14ac:dyDescent="0.25">
      <c r="A91" s="16">
        <v>2013</v>
      </c>
      <c r="B91" s="16" t="s">
        <v>14</v>
      </c>
      <c r="C91" s="17">
        <v>403629290</v>
      </c>
      <c r="D91" s="17">
        <v>375416650</v>
      </c>
      <c r="E91" s="17">
        <v>28212639</v>
      </c>
      <c r="F91" s="17">
        <v>-22582339</v>
      </c>
      <c r="G91" s="17">
        <v>23788331</v>
      </c>
      <c r="H91" s="17">
        <v>62828</v>
      </c>
      <c r="I91" s="17">
        <v>202615</v>
      </c>
      <c r="J91" s="17">
        <v>20092</v>
      </c>
      <c r="K91" s="18">
        <f t="shared" si="1"/>
        <v>11.048156112962923</v>
      </c>
      <c r="L91" s="18">
        <v>5.0602740656089558E-2</v>
      </c>
      <c r="M91" s="20">
        <v>7</v>
      </c>
      <c r="N91" s="21">
        <v>1.0900000000000001</v>
      </c>
    </row>
    <row r="92" spans="1:14" s="5" customFormat="1" ht="12.5" x14ac:dyDescent="0.25">
      <c r="A92" s="16">
        <v>2014</v>
      </c>
      <c r="B92" s="16" t="s">
        <v>14</v>
      </c>
      <c r="C92" s="17">
        <v>413305111</v>
      </c>
      <c r="D92" s="17">
        <v>337041116</v>
      </c>
      <c r="E92" s="17">
        <v>76263995</v>
      </c>
      <c r="F92" s="17">
        <v>10692376</v>
      </c>
      <c r="G92" s="17">
        <v>32248858</v>
      </c>
      <c r="H92" s="17">
        <v>77067</v>
      </c>
      <c r="I92" s="17">
        <v>235494</v>
      </c>
      <c r="J92" s="17">
        <v>18709</v>
      </c>
      <c r="K92" s="18">
        <f t="shared" si="1"/>
        <v>11.252430452362411</v>
      </c>
      <c r="L92" s="18">
        <v>3.7682448502251512E-2</v>
      </c>
      <c r="M92" s="20">
        <v>8</v>
      </c>
      <c r="N92" s="21">
        <v>1.0900000000000001</v>
      </c>
    </row>
    <row r="93" spans="1:14" s="5" customFormat="1" ht="12.5" x14ac:dyDescent="0.25">
      <c r="A93" s="16">
        <v>2015</v>
      </c>
      <c r="B93" s="16" t="s">
        <v>14</v>
      </c>
      <c r="C93" s="17">
        <v>443321012</v>
      </c>
      <c r="D93" s="17">
        <v>360746481</v>
      </c>
      <c r="E93" s="17">
        <v>82574531</v>
      </c>
      <c r="F93" s="17">
        <v>4689457</v>
      </c>
      <c r="G93" s="17">
        <v>36691170</v>
      </c>
      <c r="H93" s="17">
        <v>78174</v>
      </c>
      <c r="I93" s="17">
        <v>264722</v>
      </c>
      <c r="J93" s="17">
        <v>18968</v>
      </c>
      <c r="K93" s="18">
        <f t="shared" si="1"/>
        <v>11.266692390430986</v>
      </c>
      <c r="L93" s="18">
        <v>3.6707515506650329E-2</v>
      </c>
      <c r="M93" s="20">
        <v>9</v>
      </c>
      <c r="N93" s="21">
        <v>1.0900000000000001</v>
      </c>
    </row>
    <row r="94" spans="1:14" s="5" customFormat="1" ht="12.5" x14ac:dyDescent="0.25">
      <c r="A94" s="16">
        <v>2016</v>
      </c>
      <c r="B94" s="16" t="s">
        <v>14</v>
      </c>
      <c r="C94" s="17">
        <v>492681647</v>
      </c>
      <c r="D94" s="17">
        <v>409574667</v>
      </c>
      <c r="E94" s="17">
        <v>83106980</v>
      </c>
      <c r="F94" s="17">
        <v>2183798</v>
      </c>
      <c r="G94" s="17">
        <v>36691171</v>
      </c>
      <c r="H94" s="17">
        <v>84021</v>
      </c>
      <c r="I94" s="17">
        <v>286539</v>
      </c>
      <c r="J94" s="17">
        <v>22801</v>
      </c>
      <c r="K94" s="18">
        <f t="shared" si="1"/>
        <v>11.338822046580658</v>
      </c>
      <c r="L94" s="18">
        <v>4.0246956751487942E-2</v>
      </c>
      <c r="M94" s="20">
        <v>10</v>
      </c>
      <c r="N94" s="21">
        <v>1.3608</v>
      </c>
    </row>
    <row r="95" spans="1:14" s="5" customFormat="1" ht="12.5" x14ac:dyDescent="0.25">
      <c r="A95" s="16">
        <v>2017</v>
      </c>
      <c r="B95" s="16" t="s">
        <v>14</v>
      </c>
      <c r="C95" s="17">
        <v>156506504</v>
      </c>
      <c r="D95" s="17">
        <v>398699659</v>
      </c>
      <c r="E95" s="17">
        <v>-242193155</v>
      </c>
      <c r="F95" s="17">
        <v>-14917938</v>
      </c>
      <c r="G95" s="17">
        <v>6744837</v>
      </c>
      <c r="H95" s="17">
        <v>89926</v>
      </c>
      <c r="I95" s="17">
        <v>24579</v>
      </c>
      <c r="J95" s="17">
        <v>21501</v>
      </c>
      <c r="K95" s="18">
        <f t="shared" si="1"/>
        <v>11.406742388880087</v>
      </c>
      <c r="L95" s="18">
        <v>3.9181031725132986E-2</v>
      </c>
      <c r="M95" s="20">
        <v>11</v>
      </c>
      <c r="N95" s="21">
        <v>1.3608</v>
      </c>
    </row>
    <row r="96" spans="1:14" s="5" customFormat="1" ht="12.5" x14ac:dyDescent="0.25">
      <c r="A96" s="16">
        <v>2018</v>
      </c>
      <c r="B96" s="16" t="s">
        <v>14</v>
      </c>
      <c r="C96" s="17">
        <v>235976190</v>
      </c>
      <c r="D96" s="17">
        <v>479663155</v>
      </c>
      <c r="E96" s="17">
        <v>-243686965</v>
      </c>
      <c r="F96" s="17">
        <v>1269434</v>
      </c>
      <c r="G96" s="17">
        <v>1480373</v>
      </c>
      <c r="H96" s="17">
        <v>34654</v>
      </c>
      <c r="I96" s="17">
        <v>76160</v>
      </c>
      <c r="J96" s="17">
        <v>20602</v>
      </c>
      <c r="K96" s="18">
        <f t="shared" si="1"/>
        <v>10.453168438070792</v>
      </c>
      <c r="L96" s="18">
        <v>4.4089090908097997E-2</v>
      </c>
      <c r="M96" s="20">
        <v>12</v>
      </c>
      <c r="N96" s="21">
        <v>1.1315999999999999</v>
      </c>
    </row>
    <row r="97" spans="1:14" s="5" customFormat="1" ht="12.5" x14ac:dyDescent="0.25">
      <c r="A97" s="16">
        <v>2019</v>
      </c>
      <c r="B97" s="16" t="s">
        <v>14</v>
      </c>
      <c r="C97" s="17">
        <v>293052070</v>
      </c>
      <c r="D97" s="17">
        <v>561907958</v>
      </c>
      <c r="E97" s="17">
        <v>278855888</v>
      </c>
      <c r="F97" s="17">
        <v>3383189</v>
      </c>
      <c r="G97" s="17">
        <v>39427662</v>
      </c>
      <c r="H97" s="17">
        <v>44587</v>
      </c>
      <c r="I97" s="17">
        <v>137743</v>
      </c>
      <c r="J97" s="17">
        <v>21963</v>
      </c>
      <c r="K97" s="18">
        <f t="shared" si="1"/>
        <v>10.705197615699028</v>
      </c>
      <c r="L97" s="18">
        <v>3.8057552589086482E-2</v>
      </c>
      <c r="M97" s="20">
        <v>13</v>
      </c>
      <c r="N97" s="21">
        <v>1.1315999999999999</v>
      </c>
    </row>
    <row r="98" spans="1:14" s="5" customFormat="1" ht="12.5" x14ac:dyDescent="0.25">
      <c r="A98" s="16">
        <v>2020</v>
      </c>
      <c r="B98" s="16" t="s">
        <v>14</v>
      </c>
      <c r="C98" s="17">
        <v>492020329</v>
      </c>
      <c r="D98" s="17">
        <v>967430125</v>
      </c>
      <c r="E98" s="17">
        <v>275409796</v>
      </c>
      <c r="F98" s="17">
        <v>2086393</v>
      </c>
      <c r="G98" s="17">
        <v>15652113</v>
      </c>
      <c r="H98" s="17">
        <v>42709</v>
      </c>
      <c r="I98" s="17">
        <v>235146</v>
      </c>
      <c r="J98" s="17">
        <v>21915</v>
      </c>
      <c r="K98" s="18">
        <f t="shared" si="1"/>
        <v>10.662164949840967</v>
      </c>
      <c r="L98" s="18">
        <v>2.8828752933001866E-2</v>
      </c>
      <c r="M98" s="20">
        <v>14</v>
      </c>
      <c r="N98" s="21">
        <v>1.0682</v>
      </c>
    </row>
    <row r="99" spans="1:14" s="5" customFormat="1" ht="12.5" x14ac:dyDescent="0.25">
      <c r="A99" s="16">
        <v>2021</v>
      </c>
      <c r="B99" s="16" t="s">
        <v>14</v>
      </c>
      <c r="C99" s="17">
        <v>538868756</v>
      </c>
      <c r="D99" s="17">
        <v>815022211</v>
      </c>
      <c r="E99" s="17">
        <v>-276153455</v>
      </c>
      <c r="F99" s="17">
        <v>3173252</v>
      </c>
      <c r="G99" s="17">
        <v>68868973</v>
      </c>
      <c r="H99" s="17">
        <v>48977</v>
      </c>
      <c r="I99" s="17">
        <v>306250</v>
      </c>
      <c r="J99" s="17">
        <v>22668</v>
      </c>
      <c r="K99" s="18">
        <f t="shared" si="1"/>
        <v>10.799106079140744</v>
      </c>
      <c r="L99" s="18">
        <v>2.1967252958031199E-2</v>
      </c>
      <c r="M99" s="20">
        <v>15</v>
      </c>
      <c r="N99" s="21">
        <v>1.0682</v>
      </c>
    </row>
    <row r="100" spans="1:14" s="5" customFormat="1" ht="12.5" x14ac:dyDescent="0.25">
      <c r="A100" s="16">
        <v>2022</v>
      </c>
      <c r="B100" s="16" t="s">
        <v>14</v>
      </c>
      <c r="C100" s="17">
        <v>510143959</v>
      </c>
      <c r="D100" s="17">
        <v>785092126</v>
      </c>
      <c r="E100" s="17">
        <v>274948167</v>
      </c>
      <c r="F100" s="17">
        <v>941375</v>
      </c>
      <c r="G100" s="17">
        <v>26933973</v>
      </c>
      <c r="H100" s="17">
        <v>56916</v>
      </c>
      <c r="I100" s="17">
        <v>311088</v>
      </c>
      <c r="J100" s="17">
        <v>23460</v>
      </c>
      <c r="K100" s="18">
        <f t="shared" si="1"/>
        <v>10.949331775665582</v>
      </c>
      <c r="L100" s="18">
        <v>1.9071654914218573E-2</v>
      </c>
      <c r="M100" s="20">
        <v>16</v>
      </c>
      <c r="N100" s="21">
        <v>1.0682</v>
      </c>
    </row>
    <row r="101" spans="1:14" s="5" customFormat="1" ht="12.5" x14ac:dyDescent="0.25">
      <c r="A101" s="16">
        <v>2012</v>
      </c>
      <c r="B101" s="16" t="s">
        <v>12</v>
      </c>
      <c r="C101" s="17">
        <v>2436886000</v>
      </c>
      <c r="D101" s="17">
        <v>1998883000</v>
      </c>
      <c r="E101" s="17">
        <v>438003000</v>
      </c>
      <c r="F101" s="17">
        <v>95803000</v>
      </c>
      <c r="G101" s="17">
        <v>125276000</v>
      </c>
      <c r="H101" s="17">
        <v>279042</v>
      </c>
      <c r="I101" s="17">
        <v>1099145</v>
      </c>
      <c r="J101" s="17"/>
      <c r="K101" s="18">
        <f t="shared" si="1"/>
        <v>12.539117587108258</v>
      </c>
      <c r="L101" s="18"/>
      <c r="M101" s="20"/>
      <c r="N101" s="21"/>
    </row>
    <row r="102" spans="1:14" s="5" customFormat="1" ht="12.5" x14ac:dyDescent="0.25">
      <c r="A102" s="16">
        <v>2013</v>
      </c>
      <c r="B102" s="16" t="s">
        <v>12</v>
      </c>
      <c r="C102" s="17">
        <v>2878693000</v>
      </c>
      <c r="D102" s="17">
        <v>2406071000</v>
      </c>
      <c r="E102" s="17">
        <v>472622000</v>
      </c>
      <c r="F102" s="17">
        <v>83414000</v>
      </c>
      <c r="G102" s="17">
        <v>235619000</v>
      </c>
      <c r="H102" s="17">
        <v>311275</v>
      </c>
      <c r="I102" s="17">
        <v>1376083</v>
      </c>
      <c r="J102" s="17">
        <v>67364</v>
      </c>
      <c r="K102" s="18">
        <f t="shared" si="1"/>
        <v>12.648432044820613</v>
      </c>
      <c r="L102" s="18">
        <v>2.2083061709447231E-2</v>
      </c>
      <c r="M102" s="20">
        <v>23</v>
      </c>
      <c r="N102" s="21">
        <v>4.0086000000000004</v>
      </c>
    </row>
    <row r="103" spans="1:14" s="5" customFormat="1" ht="12.5" x14ac:dyDescent="0.25">
      <c r="A103" s="16">
        <v>2014</v>
      </c>
      <c r="B103" s="16" t="s">
        <v>12</v>
      </c>
      <c r="C103" s="17">
        <v>3423819000</v>
      </c>
      <c r="D103" s="17">
        <v>2911112000</v>
      </c>
      <c r="E103" s="17">
        <v>512707000</v>
      </c>
      <c r="F103" s="17">
        <v>92479000</v>
      </c>
      <c r="G103" s="17">
        <v>-146441000</v>
      </c>
      <c r="H103" s="17">
        <v>372015</v>
      </c>
      <c r="I103" s="17">
        <v>2050389</v>
      </c>
      <c r="J103" s="17">
        <v>69531</v>
      </c>
      <c r="K103" s="18">
        <f t="shared" si="1"/>
        <v>12.826689455022995</v>
      </c>
      <c r="L103" s="18">
        <v>1.9058846461926512E-2</v>
      </c>
      <c r="M103" s="20">
        <v>24</v>
      </c>
      <c r="N103" s="21">
        <v>4.0086000000000004</v>
      </c>
    </row>
    <row r="104" spans="1:14" s="5" customFormat="1" ht="12.5" x14ac:dyDescent="0.25">
      <c r="A104" s="16">
        <v>2015</v>
      </c>
      <c r="B104" s="16" t="s">
        <v>12</v>
      </c>
      <c r="C104" s="17">
        <v>3750327000</v>
      </c>
      <c r="D104" s="17">
        <v>3203381000</v>
      </c>
      <c r="E104" s="17">
        <v>546946000</v>
      </c>
      <c r="F104" s="17">
        <v>98784000</v>
      </c>
      <c r="G104" s="17">
        <v>-415396000</v>
      </c>
      <c r="H104" s="17">
        <v>396653</v>
      </c>
      <c r="I104" s="17">
        <v>2116119</v>
      </c>
      <c r="J104" s="17">
        <v>81187</v>
      </c>
      <c r="K104" s="18">
        <f t="shared" si="1"/>
        <v>12.890817122044545</v>
      </c>
      <c r="L104" s="18">
        <v>2.171835076102327E-2</v>
      </c>
      <c r="M104" s="20">
        <v>25</v>
      </c>
      <c r="N104" s="21">
        <v>0.97499999999999998</v>
      </c>
    </row>
    <row r="105" spans="1:14" s="5" customFormat="1" ht="12.5" x14ac:dyDescent="0.25">
      <c r="A105" s="16">
        <v>2016</v>
      </c>
      <c r="B105" s="16" t="s">
        <v>12</v>
      </c>
      <c r="C105" s="17">
        <v>4283736000</v>
      </c>
      <c r="D105" s="17">
        <v>3667383000</v>
      </c>
      <c r="E105" s="17">
        <v>616353000</v>
      </c>
      <c r="F105" s="17">
        <v>119285000</v>
      </c>
      <c r="G105" s="17">
        <v>-104917000</v>
      </c>
      <c r="H105" s="17">
        <v>454808</v>
      </c>
      <c r="I105" s="17">
        <v>2492537</v>
      </c>
      <c r="J105" s="17">
        <v>94613</v>
      </c>
      <c r="K105" s="18">
        <f t="shared" si="1"/>
        <v>13.027630630853329</v>
      </c>
      <c r="L105" s="18">
        <v>2.2212634432705849E-2</v>
      </c>
      <c r="M105" s="20">
        <v>26</v>
      </c>
      <c r="N105" s="21">
        <v>0.97499999999999998</v>
      </c>
    </row>
    <row r="106" spans="1:14" s="5" customFormat="1" ht="12.5" x14ac:dyDescent="0.25">
      <c r="A106" s="16">
        <v>2017</v>
      </c>
      <c r="B106" s="16" t="s">
        <v>12</v>
      </c>
      <c r="C106" s="17">
        <v>4833658000</v>
      </c>
      <c r="D106" s="17">
        <v>4126133000</v>
      </c>
      <c r="E106" s="17">
        <v>707525000</v>
      </c>
      <c r="F106" s="17">
        <v>157145000</v>
      </c>
      <c r="G106" s="17">
        <v>-255750000</v>
      </c>
      <c r="H106" s="17">
        <v>673636</v>
      </c>
      <c r="I106" s="17">
        <v>2253795</v>
      </c>
      <c r="J106" s="17">
        <v>118223</v>
      </c>
      <c r="K106" s="18">
        <f t="shared" si="1"/>
        <v>13.420445184662688</v>
      </c>
      <c r="L106" s="18">
        <v>2.3820906757924976E-2</v>
      </c>
      <c r="M106" s="20">
        <v>27</v>
      </c>
      <c r="N106" s="21">
        <v>0.97499999999999998</v>
      </c>
    </row>
    <row r="107" spans="1:14" s="5" customFormat="1" ht="12.5" x14ac:dyDescent="0.25">
      <c r="A107" s="16">
        <v>2018</v>
      </c>
      <c r="B107" s="16" t="s">
        <v>12</v>
      </c>
      <c r="C107" s="17">
        <v>4955445000</v>
      </c>
      <c r="D107" s="17">
        <v>4280413000</v>
      </c>
      <c r="E107" s="17">
        <v>675032000</v>
      </c>
      <c r="F107" s="17">
        <v>165480000</v>
      </c>
      <c r="G107" s="17">
        <v>184314000</v>
      </c>
      <c r="H107" s="17">
        <v>538004</v>
      </c>
      <c r="I107" s="17">
        <v>2129532</v>
      </c>
      <c r="J107" s="17">
        <v>133854</v>
      </c>
      <c r="K107" s="18">
        <f t="shared" si="1"/>
        <v>13.195621274060521</v>
      </c>
      <c r="L107" s="18">
        <v>2.5041011063332501E-2</v>
      </c>
      <c r="M107" s="20">
        <v>28</v>
      </c>
      <c r="N107" s="21">
        <v>0.97499999999999998</v>
      </c>
    </row>
    <row r="108" spans="1:14" s="5" customFormat="1" ht="12.5" x14ac:dyDescent="0.25">
      <c r="A108" s="16">
        <v>2019</v>
      </c>
      <c r="B108" s="16" t="s">
        <v>12</v>
      </c>
      <c r="C108" s="17">
        <v>5435073000</v>
      </c>
      <c r="D108" s="17">
        <v>4656078000</v>
      </c>
      <c r="E108" s="17">
        <v>778995000</v>
      </c>
      <c r="F108" s="17">
        <v>178003000</v>
      </c>
      <c r="G108" s="17">
        <v>390093000</v>
      </c>
      <c r="H108" s="17">
        <v>564687</v>
      </c>
      <c r="I108" s="17">
        <v>2721542</v>
      </c>
      <c r="J108" s="17">
        <v>165456</v>
      </c>
      <c r="K108" s="18">
        <f t="shared" si="1"/>
        <v>13.244026874322802</v>
      </c>
      <c r="L108" s="18">
        <v>2.9182216960493498E-2</v>
      </c>
      <c r="M108" s="20">
        <v>29</v>
      </c>
      <c r="N108" s="21">
        <v>6.2927999999999997</v>
      </c>
    </row>
    <row r="109" spans="1:14" s="5" customFormat="1" ht="12.5" x14ac:dyDescent="0.25">
      <c r="A109" s="16">
        <v>2020</v>
      </c>
      <c r="B109" s="16" t="s">
        <v>12</v>
      </c>
      <c r="C109" s="17">
        <v>7124987000</v>
      </c>
      <c r="D109" s="17">
        <v>6219755000</v>
      </c>
      <c r="E109" s="17">
        <v>905232000</v>
      </c>
      <c r="F109" s="17">
        <v>197852000</v>
      </c>
      <c r="G109" s="17">
        <v>65920000</v>
      </c>
      <c r="H109" s="17">
        <v>595921</v>
      </c>
      <c r="I109" s="17">
        <v>3172174</v>
      </c>
      <c r="J109" s="17">
        <v>169080</v>
      </c>
      <c r="K109" s="18">
        <f t="shared" si="1"/>
        <v>13.297863386926345</v>
      </c>
      <c r="L109" s="18">
        <v>2.242234419554048E-2</v>
      </c>
      <c r="M109" s="20">
        <v>30</v>
      </c>
      <c r="N109" s="21">
        <v>6.2927999999999997</v>
      </c>
    </row>
    <row r="110" spans="1:14" s="5" customFormat="1" ht="12.5" x14ac:dyDescent="0.25">
      <c r="A110" s="16">
        <v>2021</v>
      </c>
      <c r="B110" s="16" t="s">
        <v>12</v>
      </c>
      <c r="C110" s="17">
        <v>7872292000</v>
      </c>
      <c r="D110" s="17">
        <v>6822517000</v>
      </c>
      <c r="E110" s="17">
        <v>1049775000</v>
      </c>
      <c r="F110" s="17">
        <v>233133000</v>
      </c>
      <c r="G110" s="17">
        <v>457857000</v>
      </c>
      <c r="H110" s="17">
        <v>677283</v>
      </c>
      <c r="I110" s="17">
        <v>3617505</v>
      </c>
      <c r="J110" s="17">
        <v>177501</v>
      </c>
      <c r="K110" s="18">
        <f t="shared" si="1"/>
        <v>13.425844485227577</v>
      </c>
      <c r="L110" s="18">
        <v>2.3820906757924976E-2</v>
      </c>
      <c r="M110" s="20">
        <v>31</v>
      </c>
      <c r="N110" s="21">
        <v>6.2927999999999997</v>
      </c>
    </row>
    <row r="111" spans="1:14" s="5" customFormat="1" ht="12.5" x14ac:dyDescent="0.25">
      <c r="A111" s="16">
        <v>2022</v>
      </c>
      <c r="B111" s="16" t="s">
        <v>12</v>
      </c>
      <c r="C111" s="17">
        <v>10570678000</v>
      </c>
      <c r="D111" s="17">
        <v>9375531000</v>
      </c>
      <c r="E111" s="17">
        <v>1195147000</v>
      </c>
      <c r="F111" s="17">
        <v>234593000</v>
      </c>
      <c r="G111" s="17">
        <v>1279760000</v>
      </c>
      <c r="H111" s="17">
        <v>833087</v>
      </c>
      <c r="I111" s="17">
        <v>4868472</v>
      </c>
      <c r="J111" s="17">
        <v>214572</v>
      </c>
      <c r="K111" s="18">
        <f t="shared" si="1"/>
        <v>13.632893357472028</v>
      </c>
      <c r="L111" s="18">
        <v>2.5041011063332501E-2</v>
      </c>
      <c r="M111" s="20">
        <v>32</v>
      </c>
      <c r="N111" s="21">
        <v>6.2927999999999997</v>
      </c>
    </row>
    <row r="112" spans="1:14" ht="14" x14ac:dyDescent="0.3">
      <c r="C112" s="3"/>
      <c r="D112" s="4"/>
      <c r="E112" s="4"/>
      <c r="F112" s="3"/>
      <c r="G112" s="3"/>
    </row>
    <row r="113" spans="3:7" ht="14" x14ac:dyDescent="0.3">
      <c r="C113" s="3"/>
      <c r="D113" s="4"/>
      <c r="E113" s="4"/>
      <c r="F113" s="3"/>
      <c r="G113" s="3"/>
    </row>
    <row r="114" spans="3:7" ht="14" x14ac:dyDescent="0.3">
      <c r="C114" s="3"/>
      <c r="D114" s="4"/>
      <c r="E114" s="4"/>
      <c r="F114" s="3"/>
      <c r="G114" s="3"/>
    </row>
    <row r="115" spans="3:7" ht="14" x14ac:dyDescent="0.3">
      <c r="C115" s="3"/>
      <c r="D115" s="4"/>
      <c r="E115" s="4"/>
      <c r="F115" s="3"/>
      <c r="G115" s="3"/>
    </row>
    <row r="116" spans="3:7" ht="14" x14ac:dyDescent="0.3">
      <c r="C116" s="3"/>
      <c r="D116" s="4"/>
      <c r="E116" s="4"/>
      <c r="F116" s="3"/>
      <c r="G116" s="3"/>
    </row>
    <row r="117" spans="3:7" ht="14" x14ac:dyDescent="0.3">
      <c r="C117" s="3"/>
      <c r="D117" s="4"/>
      <c r="E117" s="4"/>
      <c r="F117" s="3"/>
      <c r="G117" s="3"/>
    </row>
    <row r="118" spans="3:7" ht="14" x14ac:dyDescent="0.3">
      <c r="C118" s="3"/>
      <c r="D118" s="4"/>
      <c r="E118" s="4"/>
      <c r="F118" s="3"/>
      <c r="G118" s="3"/>
    </row>
    <row r="119" spans="3:7" ht="14" x14ac:dyDescent="0.3">
      <c r="C119" s="3"/>
      <c r="D119" s="4"/>
      <c r="E119" s="4"/>
      <c r="F119" s="3"/>
      <c r="G119" s="3"/>
    </row>
    <row r="120" spans="3:7" ht="14" x14ac:dyDescent="0.3">
      <c r="C120" s="3"/>
      <c r="D120" s="4"/>
      <c r="E120" s="4"/>
      <c r="F120" s="3"/>
      <c r="G120" s="3"/>
    </row>
    <row r="121" spans="3:7" ht="14" x14ac:dyDescent="0.3">
      <c r="C121" s="3"/>
      <c r="D121" s="4"/>
      <c r="E121" s="4"/>
      <c r="F121" s="3"/>
      <c r="G121" s="3"/>
    </row>
    <row r="122" spans="3:7" ht="14" x14ac:dyDescent="0.3">
      <c r="C122" s="3"/>
      <c r="D122" s="4"/>
      <c r="E122" s="4"/>
      <c r="F122" s="3"/>
      <c r="G122" s="3"/>
    </row>
    <row r="123" spans="3:7" ht="14" x14ac:dyDescent="0.3">
      <c r="C123" s="3"/>
      <c r="D123" s="4"/>
      <c r="E123" s="4"/>
      <c r="F123" s="3"/>
      <c r="G123" s="3"/>
    </row>
    <row r="124" spans="3:7" ht="14" x14ac:dyDescent="0.3">
      <c r="C124" s="3"/>
      <c r="D124" s="4"/>
      <c r="E124" s="4"/>
      <c r="F124" s="3"/>
      <c r="G124" s="3"/>
    </row>
    <row r="125" spans="3:7" ht="14" x14ac:dyDescent="0.3">
      <c r="C125" s="3"/>
      <c r="D125" s="4"/>
      <c r="E125" s="4"/>
      <c r="F125" s="3"/>
      <c r="G125" s="3"/>
    </row>
    <row r="126" spans="3:7" ht="14" x14ac:dyDescent="0.3">
      <c r="C126" s="3"/>
      <c r="D126" s="4"/>
      <c r="E126" s="4"/>
      <c r="F126" s="3"/>
      <c r="G126" s="3"/>
    </row>
    <row r="127" spans="3:7" ht="14" x14ac:dyDescent="0.3">
      <c r="C127" s="3"/>
      <c r="D127" s="4"/>
      <c r="E127" s="4"/>
      <c r="F127" s="3"/>
      <c r="G127" s="3"/>
    </row>
    <row r="128" spans="3:7" ht="14" x14ac:dyDescent="0.3">
      <c r="C128" s="3"/>
      <c r="D128" s="4"/>
      <c r="E128" s="4"/>
      <c r="F128" s="3"/>
      <c r="G128" s="3"/>
    </row>
    <row r="129" spans="3:7" ht="14" x14ac:dyDescent="0.3">
      <c r="C129" s="3"/>
      <c r="D129" s="4"/>
      <c r="E129" s="4"/>
      <c r="F129" s="3"/>
      <c r="G129" s="3"/>
    </row>
    <row r="130" spans="3:7" ht="14" x14ac:dyDescent="0.3">
      <c r="C130" s="3"/>
      <c r="D130" s="4"/>
      <c r="E130" s="4"/>
      <c r="F130" s="3"/>
      <c r="G130" s="3"/>
    </row>
    <row r="131" spans="3:7" ht="14" x14ac:dyDescent="0.3">
      <c r="C131" s="3"/>
      <c r="D131" s="4"/>
      <c r="E131" s="4"/>
      <c r="F131" s="3"/>
      <c r="G131" s="3"/>
    </row>
    <row r="132" spans="3:7" ht="14" x14ac:dyDescent="0.3">
      <c r="C132" s="3"/>
      <c r="D132" s="4"/>
      <c r="E132" s="4"/>
      <c r="F132" s="3"/>
      <c r="G1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FD42-0367-4FB8-A1CA-59282C32884C}">
  <dimension ref="A1:AH122"/>
  <sheetViews>
    <sheetView workbookViewId="0">
      <pane xSplit="2" ySplit="1" topLeftCell="T90" activePane="bottomRight" state="frozen"/>
      <selection pane="topRight" activeCell="C1" sqref="C1"/>
      <selection pane="bottomLeft" activeCell="A2" sqref="A2"/>
      <selection pane="bottomRight" activeCell="V2" sqref="V2:W101"/>
    </sheetView>
  </sheetViews>
  <sheetFormatPr defaultRowHeight="14.5" x14ac:dyDescent="0.35"/>
  <cols>
    <col min="1" max="1" width="4.81640625" style="16" bestFit="1" customWidth="1"/>
    <col min="2" max="2" width="11.54296875" bestFit="1" customWidth="1"/>
    <col min="3" max="3" width="17.453125" style="1" bestFit="1" customWidth="1"/>
    <col min="4" max="4" width="21.81640625" style="2" bestFit="1" customWidth="1"/>
    <col min="5" max="5" width="16.6328125" style="1" bestFit="1" customWidth="1"/>
    <col min="6" max="6" width="14.81640625" style="1" bestFit="1" customWidth="1"/>
    <col min="7" max="7" width="24.453125" style="1" bestFit="1" customWidth="1"/>
    <col min="8" max="8" width="17.453125" bestFit="1" customWidth="1"/>
    <col min="9" max="10" width="14.81640625" bestFit="1" customWidth="1"/>
    <col min="11" max="12" width="16.36328125" bestFit="1" customWidth="1"/>
    <col min="13" max="14" width="14.81640625" bestFit="1" customWidth="1"/>
    <col min="15" max="15" width="13.81640625" bestFit="1" customWidth="1"/>
    <col min="16" max="16" width="16.36328125" bestFit="1" customWidth="1"/>
    <col min="17" max="17" width="16.36328125" customWidth="1"/>
    <col min="18" max="18" width="12.6328125" style="7" bestFit="1" customWidth="1"/>
    <col min="19" max="19" width="22.90625" style="8" bestFit="1" customWidth="1"/>
    <col min="20" max="20" width="24.90625" style="9" bestFit="1" customWidth="1"/>
    <col min="21" max="21" width="23.90625" style="9" bestFit="1" customWidth="1"/>
    <col min="22" max="22" width="13.7265625" style="7" bestFit="1" customWidth="1"/>
    <col min="23" max="23" width="12.6328125" style="7" bestFit="1" customWidth="1"/>
    <col min="24" max="24" width="12.6328125" style="7" customWidth="1"/>
    <col min="25" max="25" width="12.6328125" style="7" bestFit="1" customWidth="1"/>
    <col min="26" max="26" width="13.7265625" style="10" bestFit="1" customWidth="1"/>
    <col min="27" max="27" width="15.7265625" style="10" bestFit="1" customWidth="1"/>
    <col min="28" max="28" width="13.7265625" style="6" bestFit="1" customWidth="1"/>
    <col min="29" max="29" width="11.81640625" bestFit="1" customWidth="1"/>
    <col min="30" max="30" width="17.36328125" bestFit="1" customWidth="1"/>
    <col min="31" max="31" width="11.81640625" bestFit="1" customWidth="1"/>
    <col min="32" max="32" width="12.81640625" bestFit="1" customWidth="1"/>
    <col min="33" max="33" width="12.453125" bestFit="1" customWidth="1"/>
    <col min="34" max="34" width="11.81640625" bestFit="1" customWidth="1"/>
  </cols>
  <sheetData>
    <row r="1" spans="1:34" s="15" customFormat="1" ht="15.5" x14ac:dyDescent="0.25">
      <c r="A1" s="11" t="s">
        <v>0</v>
      </c>
      <c r="B1" s="11" t="s">
        <v>7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34</v>
      </c>
      <c r="I1" s="11" t="s">
        <v>23</v>
      </c>
      <c r="J1" s="11" t="s">
        <v>35</v>
      </c>
      <c r="K1" s="11" t="s">
        <v>24</v>
      </c>
      <c r="L1" s="11" t="s">
        <v>36</v>
      </c>
      <c r="M1" s="11" t="s">
        <v>25</v>
      </c>
      <c r="N1" s="11" t="s">
        <v>1</v>
      </c>
      <c r="O1" s="11" t="s">
        <v>43</v>
      </c>
      <c r="P1" s="11" t="s">
        <v>42</v>
      </c>
      <c r="Q1" s="24" t="s">
        <v>41</v>
      </c>
      <c r="R1" s="22" t="s">
        <v>37</v>
      </c>
      <c r="S1" s="23" t="s">
        <v>38</v>
      </c>
      <c r="T1" s="24" t="s">
        <v>39</v>
      </c>
      <c r="U1" s="24" t="s">
        <v>40</v>
      </c>
      <c r="V1" s="12" t="s">
        <v>26</v>
      </c>
      <c r="W1" s="12" t="s">
        <v>22</v>
      </c>
      <c r="X1" s="12" t="s">
        <v>29</v>
      </c>
      <c r="Y1" s="12" t="s">
        <v>4</v>
      </c>
      <c r="Z1" s="13" t="s">
        <v>27</v>
      </c>
      <c r="AA1" s="13" t="s">
        <v>28</v>
      </c>
      <c r="AB1" s="14" t="s">
        <v>2</v>
      </c>
      <c r="AC1" t="s">
        <v>31</v>
      </c>
      <c r="AD1" t="s">
        <v>30</v>
      </c>
      <c r="AE1" t="s">
        <v>32</v>
      </c>
      <c r="AF1" t="s">
        <v>33</v>
      </c>
      <c r="AG1" t="s">
        <v>44</v>
      </c>
      <c r="AH1" t="s">
        <v>45</v>
      </c>
    </row>
    <row r="2" spans="1:34" s="5" customFormat="1" ht="12.5" x14ac:dyDescent="0.25">
      <c r="A2" s="16">
        <v>2013</v>
      </c>
      <c r="B2" s="16" t="s">
        <v>13</v>
      </c>
      <c r="C2" s="17">
        <v>1704094012</v>
      </c>
      <c r="D2" s="17">
        <v>1458912014</v>
      </c>
      <c r="E2" s="17">
        <v>245181998</v>
      </c>
      <c r="F2" s="17">
        <v>26211844</v>
      </c>
      <c r="G2" s="17">
        <v>-80507219</v>
      </c>
      <c r="H2" s="17">
        <v>1515754463</v>
      </c>
      <c r="I2" s="17">
        <v>50463</v>
      </c>
      <c r="J2" s="17">
        <v>180672</v>
      </c>
      <c r="K2" s="17">
        <v>748349</v>
      </c>
      <c r="L2" s="17">
        <v>557647</v>
      </c>
      <c r="M2" s="17">
        <v>63203</v>
      </c>
      <c r="N2" s="17">
        <v>-54295375</v>
      </c>
      <c r="O2" s="17">
        <v>-130209</v>
      </c>
      <c r="P2" s="17">
        <v>190702</v>
      </c>
      <c r="Q2" s="17">
        <v>-320911</v>
      </c>
      <c r="R2" s="18">
        <v>-3.5820692813622282E-2</v>
      </c>
      <c r="S2" s="19">
        <v>6.5973746039367593E-10</v>
      </c>
      <c r="T2" s="19">
        <v>-2.1171700815239493E-4</v>
      </c>
      <c r="U2" s="19">
        <v>4.16973867092615E-5</v>
      </c>
      <c r="V2" s="18">
        <v>10.828995673459891</v>
      </c>
      <c r="W2" s="18">
        <v>-0.72069274707757702</v>
      </c>
      <c r="X2" s="18">
        <v>0.85612178889576429</v>
      </c>
      <c r="Y2" s="18">
        <v>3.6635549228370298E-2</v>
      </c>
      <c r="Z2" s="20">
        <v>24</v>
      </c>
      <c r="AA2" s="25">
        <v>3.1780538303479458</v>
      </c>
      <c r="AB2" s="21">
        <v>1.1242000000000001</v>
      </c>
      <c r="AC2">
        <v>21.330564237166541</v>
      </c>
      <c r="AD2">
        <v>1</v>
      </c>
      <c r="AE2">
        <v>0</v>
      </c>
      <c r="AF2">
        <v>0</v>
      </c>
      <c r="AG2">
        <v>3.4903647954671199E-2</v>
      </c>
      <c r="AH2">
        <v>0.10641544097146199</v>
      </c>
    </row>
    <row r="3" spans="1:34" s="5" customFormat="1" ht="12.5" x14ac:dyDescent="0.25">
      <c r="A3" s="16">
        <v>2014</v>
      </c>
      <c r="B3" s="16" t="s">
        <v>13</v>
      </c>
      <c r="C3" s="17">
        <v>1981955730</v>
      </c>
      <c r="D3" s="17">
        <v>1707799944</v>
      </c>
      <c r="E3" s="17">
        <v>274155786</v>
      </c>
      <c r="F3" s="17">
        <v>39941126</v>
      </c>
      <c r="G3" s="17">
        <v>-291257104</v>
      </c>
      <c r="H3" s="17">
        <v>1704094012</v>
      </c>
      <c r="I3" s="17">
        <v>215210</v>
      </c>
      <c r="J3" s="17">
        <v>50463</v>
      </c>
      <c r="K3" s="17">
        <v>1075686</v>
      </c>
      <c r="L3" s="17">
        <v>748349</v>
      </c>
      <c r="M3" s="17">
        <v>64160</v>
      </c>
      <c r="N3" s="17">
        <v>-251315978</v>
      </c>
      <c r="O3" s="17">
        <v>164747</v>
      </c>
      <c r="P3" s="17">
        <v>327337</v>
      </c>
      <c r="Q3" s="17">
        <v>-162590</v>
      </c>
      <c r="R3" s="18">
        <v>-0.14747776603301627</v>
      </c>
      <c r="S3" s="19">
        <v>5.8682208432054509E-10</v>
      </c>
      <c r="T3" s="19">
        <v>-9.5411402689677432E-5</v>
      </c>
      <c r="U3" s="19">
        <v>3.7650504930006173E-5</v>
      </c>
      <c r="V3" s="18">
        <v>12.27936957459163</v>
      </c>
      <c r="W3" s="18">
        <v>3.2647087965440025</v>
      </c>
      <c r="X3" s="18">
        <v>0.86167411216596645</v>
      </c>
      <c r="Y3" s="18">
        <v>3.3102552870100173E-2</v>
      </c>
      <c r="Z3" s="20">
        <v>25</v>
      </c>
      <c r="AA3" s="25">
        <v>3.2188758248682006</v>
      </c>
      <c r="AB3" s="21">
        <v>1.1242000000000001</v>
      </c>
      <c r="AC3">
        <v>21.46727747598193</v>
      </c>
      <c r="AD3">
        <v>2</v>
      </c>
      <c r="AE3">
        <v>0.69314718055994529</v>
      </c>
      <c r="AF3">
        <v>0</v>
      </c>
      <c r="AG3">
        <v>-1.95006903710618E-2</v>
      </c>
      <c r="AH3">
        <v>0.218072478148988</v>
      </c>
    </row>
    <row r="4" spans="1:34" s="5" customFormat="1" ht="12.5" x14ac:dyDescent="0.25">
      <c r="A4" s="16">
        <v>2015</v>
      </c>
      <c r="B4" s="16" t="s">
        <v>13</v>
      </c>
      <c r="C4" s="17">
        <v>2411944061</v>
      </c>
      <c r="D4" s="17">
        <v>2051515157</v>
      </c>
      <c r="E4" s="17">
        <v>360428904</v>
      </c>
      <c r="F4" s="17">
        <v>58924745</v>
      </c>
      <c r="G4" s="17">
        <v>-181246613</v>
      </c>
      <c r="H4" s="17">
        <v>1981955730</v>
      </c>
      <c r="I4" s="17">
        <v>322061</v>
      </c>
      <c r="J4" s="17">
        <v>215210</v>
      </c>
      <c r="K4" s="17">
        <v>1303630</v>
      </c>
      <c r="L4" s="17">
        <v>1075686</v>
      </c>
      <c r="M4" s="17">
        <v>65900</v>
      </c>
      <c r="N4" s="17">
        <v>-122321868</v>
      </c>
      <c r="O4" s="17">
        <v>106851</v>
      </c>
      <c r="P4" s="17">
        <v>227944</v>
      </c>
      <c r="Q4" s="17">
        <v>-121093</v>
      </c>
      <c r="R4" s="18">
        <v>-6.1717759962277262E-2</v>
      </c>
      <c r="S4" s="19">
        <v>5.0455213749905499E-10</v>
      </c>
      <c r="T4" s="19">
        <v>-6.1097731986173065E-5</v>
      </c>
      <c r="U4" s="19">
        <v>3.3249985861187729E-5</v>
      </c>
      <c r="V4" s="18">
        <v>12.682496247578655</v>
      </c>
      <c r="W4" s="18">
        <v>0.49649644533246595</v>
      </c>
      <c r="X4" s="18">
        <v>0.85056498207070153</v>
      </c>
      <c r="Y4" s="18">
        <v>2.8300144060959664E-2</v>
      </c>
      <c r="Z4" s="20">
        <v>26</v>
      </c>
      <c r="AA4" s="25">
        <v>3.2580965380214821</v>
      </c>
      <c r="AB4" s="21">
        <v>1.1242000000000001</v>
      </c>
      <c r="AC4">
        <v>21.675367748422321</v>
      </c>
      <c r="AD4">
        <v>3</v>
      </c>
      <c r="AE4">
        <v>1.0986122886681098</v>
      </c>
      <c r="AF4">
        <v>0</v>
      </c>
      <c r="AG4">
        <v>2.0123284194056498E-3</v>
      </c>
      <c r="AH4">
        <v>0.13231246639584701</v>
      </c>
    </row>
    <row r="5" spans="1:34" s="5" customFormat="1" ht="12.5" x14ac:dyDescent="0.25">
      <c r="A5" s="16">
        <v>2016</v>
      </c>
      <c r="B5" s="16" t="s">
        <v>13</v>
      </c>
      <c r="C5" s="17">
        <v>3094960515</v>
      </c>
      <c r="D5" s="17">
        <v>2673281895</v>
      </c>
      <c r="E5" s="17">
        <v>421678620</v>
      </c>
      <c r="F5" s="17">
        <v>64026135</v>
      </c>
      <c r="G5" s="17">
        <v>-124135578</v>
      </c>
      <c r="H5" s="17">
        <v>2411944061</v>
      </c>
      <c r="I5" s="17">
        <v>331001</v>
      </c>
      <c r="J5" s="17">
        <v>322061</v>
      </c>
      <c r="K5" s="17">
        <v>1698569</v>
      </c>
      <c r="L5" s="17">
        <v>1303630</v>
      </c>
      <c r="M5" s="17">
        <v>71824</v>
      </c>
      <c r="N5" s="17">
        <v>-60109443</v>
      </c>
      <c r="O5" s="17">
        <v>8940</v>
      </c>
      <c r="P5" s="17">
        <v>394939</v>
      </c>
      <c r="Q5" s="17">
        <v>-385999</v>
      </c>
      <c r="R5" s="18">
        <v>-2.4921574248732131E-2</v>
      </c>
      <c r="S5" s="19">
        <v>4.1460331363796086E-10</v>
      </c>
      <c r="T5" s="19">
        <v>-1.6003646446093926E-4</v>
      </c>
      <c r="U5" s="19">
        <v>2.9778468398732902E-5</v>
      </c>
      <c r="V5" s="18">
        <v>12.709876675502672</v>
      </c>
      <c r="W5" s="18">
        <v>2.7758716516436327E-2</v>
      </c>
      <c r="X5" s="18">
        <v>0.8637531503370407</v>
      </c>
      <c r="Y5" s="18">
        <v>2.4143425768503084E-2</v>
      </c>
      <c r="Z5" s="20">
        <v>27</v>
      </c>
      <c r="AA5" s="25">
        <v>3.2958368660043291</v>
      </c>
      <c r="AB5" s="21">
        <v>1.1242000000000001</v>
      </c>
      <c r="AC5">
        <v>21.971367913770589</v>
      </c>
      <c r="AD5">
        <v>4</v>
      </c>
      <c r="AE5">
        <v>1.3862943611198906</v>
      </c>
      <c r="AF5">
        <v>0</v>
      </c>
      <c r="AG5">
        <v>-1.9770203606713399E-3</v>
      </c>
      <c r="AH5">
        <v>9.5516302342235002E-2</v>
      </c>
    </row>
    <row r="6" spans="1:34" s="5" customFormat="1" ht="12.5" x14ac:dyDescent="0.25">
      <c r="A6" s="16">
        <v>2017</v>
      </c>
      <c r="B6" s="16" t="s">
        <v>13</v>
      </c>
      <c r="C6" s="17">
        <v>3499638979</v>
      </c>
      <c r="D6" s="17">
        <v>3030192882</v>
      </c>
      <c r="E6" s="17">
        <v>469491097</v>
      </c>
      <c r="F6" s="17">
        <v>53238822</v>
      </c>
      <c r="G6" s="17">
        <v>104360680</v>
      </c>
      <c r="H6" s="17">
        <v>3094960515</v>
      </c>
      <c r="I6" s="17">
        <v>398162</v>
      </c>
      <c r="J6" s="17">
        <v>331001</v>
      </c>
      <c r="K6" s="17">
        <v>1872712</v>
      </c>
      <c r="L6" s="17">
        <v>1698569</v>
      </c>
      <c r="M6" s="17">
        <v>83677</v>
      </c>
      <c r="N6" s="17">
        <v>-51121858</v>
      </c>
      <c r="O6" s="17">
        <v>67161</v>
      </c>
      <c r="P6" s="17">
        <v>174143</v>
      </c>
      <c r="Q6" s="17">
        <v>-106982</v>
      </c>
      <c r="R6" s="18">
        <v>-1.6517773894766472E-2</v>
      </c>
      <c r="S6" s="19">
        <v>3.23105899139395E-10</v>
      </c>
      <c r="T6" s="19">
        <v>-3.4566515301730757E-5</v>
      </c>
      <c r="U6" s="19">
        <v>2.7036532322287155E-5</v>
      </c>
      <c r="V6" s="18">
        <v>12.89461423662611</v>
      </c>
      <c r="W6" s="18">
        <v>0.2029027102637152</v>
      </c>
      <c r="X6" s="18">
        <v>0.86585870719323699</v>
      </c>
      <c r="Y6" s="18">
        <v>2.3673547437642904E-2</v>
      </c>
      <c r="Z6" s="20">
        <v>28</v>
      </c>
      <c r="AA6" s="25">
        <v>3.3322045101752038</v>
      </c>
      <c r="AB6" s="21">
        <v>1.1242000000000001</v>
      </c>
      <c r="AC6">
        <v>22.134799690358999</v>
      </c>
      <c r="AD6">
        <v>5</v>
      </c>
      <c r="AE6">
        <v>1.6094379124341003</v>
      </c>
      <c r="AF6">
        <v>1</v>
      </c>
      <c r="AG6">
        <v>7.2300984526247197E-3</v>
      </c>
      <c r="AH6">
        <v>8.7112477415660305E-2</v>
      </c>
    </row>
    <row r="7" spans="1:34" s="5" customFormat="1" ht="12.5" x14ac:dyDescent="0.25">
      <c r="A7" s="16">
        <v>2018</v>
      </c>
      <c r="B7" s="16" t="s">
        <v>13</v>
      </c>
      <c r="C7" s="17">
        <v>3968114609</v>
      </c>
      <c r="D7" s="17">
        <v>3527314852</v>
      </c>
      <c r="E7" s="17">
        <v>440799757</v>
      </c>
      <c r="F7" s="17">
        <v>73596295</v>
      </c>
      <c r="G7" s="17">
        <v>366002389</v>
      </c>
      <c r="H7" s="17">
        <v>3499638979</v>
      </c>
      <c r="I7" s="17">
        <v>435743</v>
      </c>
      <c r="J7" s="17">
        <v>398162</v>
      </c>
      <c r="K7" s="17">
        <v>1782755</v>
      </c>
      <c r="L7" s="17">
        <v>1872712</v>
      </c>
      <c r="M7" s="17">
        <v>88393</v>
      </c>
      <c r="N7" s="17">
        <v>-292406094</v>
      </c>
      <c r="O7" s="17">
        <v>37581</v>
      </c>
      <c r="P7" s="17">
        <v>-89957</v>
      </c>
      <c r="Q7" s="17">
        <v>-52376</v>
      </c>
      <c r="R7" s="18">
        <v>-8.3553216704527963E-2</v>
      </c>
      <c r="S7" s="19">
        <v>2.8574375985655063E-10</v>
      </c>
      <c r="T7" s="19">
        <v>-1.4966115166246696E-5</v>
      </c>
      <c r="U7" s="19">
        <v>2.5257748165000078E-5</v>
      </c>
      <c r="V7" s="18">
        <v>12.984807898996207</v>
      </c>
      <c r="W7" s="18">
        <v>9.4386204610183794E-2</v>
      </c>
      <c r="X7" s="18">
        <v>0.8889145600784234</v>
      </c>
      <c r="Y7" s="18">
        <v>2.0925602538915775E-2</v>
      </c>
      <c r="Z7" s="20">
        <v>29</v>
      </c>
      <c r="AA7" s="25">
        <v>3.3672958299864741</v>
      </c>
      <c r="AB7" s="21">
        <v>1.1242000000000001</v>
      </c>
      <c r="AC7">
        <v>22.323492846559041</v>
      </c>
      <c r="AD7">
        <v>6</v>
      </c>
      <c r="AE7">
        <v>1.791759469228055</v>
      </c>
      <c r="AF7">
        <v>1</v>
      </c>
      <c r="AG7">
        <v>9.4885206625437094E-3</v>
      </c>
      <c r="AH7">
        <v>0.154147919161542</v>
      </c>
    </row>
    <row r="8" spans="1:34" s="5" customFormat="1" ht="12.5" x14ac:dyDescent="0.25">
      <c r="A8" s="16">
        <v>2019</v>
      </c>
      <c r="B8" s="16" t="s">
        <v>13</v>
      </c>
      <c r="C8" s="17">
        <v>6311041282</v>
      </c>
      <c r="D8" s="17">
        <v>5768100178</v>
      </c>
      <c r="E8" s="17">
        <v>542941104</v>
      </c>
      <c r="F8" s="17">
        <v>735569054</v>
      </c>
      <c r="G8" s="17">
        <v>1094573265</v>
      </c>
      <c r="H8" s="17">
        <v>3968114609</v>
      </c>
      <c r="I8" s="17">
        <v>572060.174</v>
      </c>
      <c r="J8" s="17">
        <v>435743</v>
      </c>
      <c r="K8" s="17">
        <v>2646036.6719999998</v>
      </c>
      <c r="L8" s="17">
        <v>1782755</v>
      </c>
      <c r="M8" s="17">
        <v>188635</v>
      </c>
      <c r="N8" s="17">
        <v>-359004211</v>
      </c>
      <c r="O8" s="17">
        <v>136317.174</v>
      </c>
      <c r="P8" s="17">
        <v>863281.67199999979</v>
      </c>
      <c r="Q8" s="17">
        <v>-726964.49799999979</v>
      </c>
      <c r="R8" s="18">
        <v>-9.0472238424200213E-2</v>
      </c>
      <c r="S8" s="19">
        <v>2.5200885018086933E-10</v>
      </c>
      <c r="T8" s="19">
        <v>-1.8320148726329286E-4</v>
      </c>
      <c r="U8" s="19">
        <v>4.7537689453868294E-5</v>
      </c>
      <c r="V8" s="18">
        <v>13.256999464129576</v>
      </c>
      <c r="W8" s="18">
        <v>0.31283847130074377</v>
      </c>
      <c r="X8" s="18">
        <v>0.9139696478379018</v>
      </c>
      <c r="Y8" s="18">
        <v>2.9554464804236218E-2</v>
      </c>
      <c r="Z8" s="20">
        <v>30</v>
      </c>
      <c r="AA8" s="25">
        <v>3.4011973816621555</v>
      </c>
      <c r="AB8" s="21">
        <v>1.1242000000000001</v>
      </c>
      <c r="AC8">
        <v>22.68990397563433</v>
      </c>
      <c r="AD8">
        <v>7</v>
      </c>
      <c r="AE8">
        <v>1.9459101490553132</v>
      </c>
      <c r="AF8">
        <v>1</v>
      </c>
      <c r="AG8">
        <v>4.2613469886831797E-2</v>
      </c>
      <c r="AH8">
        <v>0.161066975841893</v>
      </c>
    </row>
    <row r="9" spans="1:34" s="5" customFormat="1" ht="12.5" x14ac:dyDescent="0.25">
      <c r="A9" s="16">
        <v>2020</v>
      </c>
      <c r="B9" s="16" t="s">
        <v>13</v>
      </c>
      <c r="C9" s="17">
        <v>7624979724</v>
      </c>
      <c r="D9" s="17">
        <v>6971084063</v>
      </c>
      <c r="E9" s="17">
        <v>653895661</v>
      </c>
      <c r="F9" s="17">
        <v>80039328</v>
      </c>
      <c r="G9" s="17">
        <v>-65407286</v>
      </c>
      <c r="H9" s="17">
        <v>6311041282</v>
      </c>
      <c r="I9" s="17">
        <v>634863.76800000004</v>
      </c>
      <c r="J9" s="17">
        <v>572060.174</v>
      </c>
      <c r="K9" s="17">
        <v>3050664.0070000002</v>
      </c>
      <c r="L9" s="17">
        <v>2646036.6719999998</v>
      </c>
      <c r="M9" s="17">
        <v>191893</v>
      </c>
      <c r="N9" s="17">
        <v>14632042</v>
      </c>
      <c r="O9" s="17">
        <v>62803.594000000041</v>
      </c>
      <c r="P9" s="17">
        <v>404627.33500000043</v>
      </c>
      <c r="Q9" s="17">
        <v>-341823.74100000039</v>
      </c>
      <c r="R9" s="18">
        <v>2.3184830119449057E-3</v>
      </c>
      <c r="S9" s="19">
        <v>1.5845245741810376E-10</v>
      </c>
      <c r="T9" s="19">
        <v>-5.4162811765299492E-5</v>
      </c>
      <c r="U9" s="19">
        <v>3.0405917411332185E-5</v>
      </c>
      <c r="V9" s="18">
        <v>13.361165716275458</v>
      </c>
      <c r="W9" s="18">
        <v>0.10978494370768772</v>
      </c>
      <c r="X9" s="18">
        <v>0.91424296395938853</v>
      </c>
      <c r="Y9" s="18">
        <v>2.609277498177754E-2</v>
      </c>
      <c r="Z9" s="20">
        <v>31</v>
      </c>
      <c r="AA9" s="25">
        <v>3.4339872044851463</v>
      </c>
      <c r="AB9" s="21">
        <v>1.1242000000000001</v>
      </c>
      <c r="AC9">
        <v>22.8842582999889</v>
      </c>
      <c r="AD9">
        <v>8</v>
      </c>
      <c r="AE9">
        <v>2.0794415416798357</v>
      </c>
      <c r="AF9">
        <v>1</v>
      </c>
      <c r="AG9">
        <v>2.8757033167798999E-3</v>
      </c>
      <c r="AH9">
        <v>6.8276222441260803E-2</v>
      </c>
    </row>
    <row r="10" spans="1:34" s="5" customFormat="1" ht="12.5" x14ac:dyDescent="0.25">
      <c r="A10" s="16">
        <v>2021</v>
      </c>
      <c r="B10" s="16" t="s">
        <v>13</v>
      </c>
      <c r="C10" s="17">
        <v>9660760556</v>
      </c>
      <c r="D10" s="17">
        <v>8789310442</v>
      </c>
      <c r="E10" s="17">
        <v>871450114</v>
      </c>
      <c r="F10" s="17">
        <v>111326487</v>
      </c>
      <c r="G10" s="17">
        <v>500834811</v>
      </c>
      <c r="H10" s="17">
        <v>7624979724</v>
      </c>
      <c r="I10" s="17">
        <v>734281</v>
      </c>
      <c r="J10" s="17">
        <v>634863.76800000004</v>
      </c>
      <c r="K10" s="17">
        <v>3578332</v>
      </c>
      <c r="L10" s="17">
        <v>3050664.0070000002</v>
      </c>
      <c r="M10" s="17">
        <v>194070.95</v>
      </c>
      <c r="N10" s="17">
        <v>-389508324</v>
      </c>
      <c r="O10" s="17">
        <v>99417.23199999996</v>
      </c>
      <c r="P10" s="17">
        <v>527667.99299999978</v>
      </c>
      <c r="Q10" s="17">
        <v>-428250.76099999982</v>
      </c>
      <c r="R10" s="18">
        <v>-5.1083194722997535E-2</v>
      </c>
      <c r="S10" s="19">
        <v>1.3114788972519503E-10</v>
      </c>
      <c r="T10" s="19">
        <v>-5.6164183578358826E-5</v>
      </c>
      <c r="U10" s="19">
        <v>2.5451995549463838E-5</v>
      </c>
      <c r="V10" s="18">
        <v>13.506647068121962</v>
      </c>
      <c r="W10" s="18">
        <v>0.15659616599824602</v>
      </c>
      <c r="X10" s="18">
        <v>0.90979487495332145</v>
      </c>
      <c r="Y10" s="18">
        <v>2.1116123476552576E-2</v>
      </c>
      <c r="Z10" s="20">
        <v>32</v>
      </c>
      <c r="AA10" s="25">
        <v>3.4657359027997265</v>
      </c>
      <c r="AB10" s="21">
        <v>1.1242000000000001</v>
      </c>
      <c r="AC10">
        <v>23.185582998456059</v>
      </c>
      <c r="AD10">
        <v>9</v>
      </c>
      <c r="AE10">
        <v>2.1972245773362196</v>
      </c>
      <c r="AF10">
        <v>1</v>
      </c>
      <c r="AG10">
        <v>3.9941632176517403E-2</v>
      </c>
      <c r="AH10">
        <v>0.121677900120293</v>
      </c>
    </row>
    <row r="11" spans="1:34" s="5" customFormat="1" ht="12.5" x14ac:dyDescent="0.25">
      <c r="A11" s="16">
        <v>2022</v>
      </c>
      <c r="B11" s="16" t="s">
        <v>13</v>
      </c>
      <c r="C11" s="17">
        <v>12535280000</v>
      </c>
      <c r="D11" s="17">
        <v>11466613000</v>
      </c>
      <c r="E11" s="17">
        <v>1068667000</v>
      </c>
      <c r="F11" s="17">
        <v>166660000</v>
      </c>
      <c r="G11" s="17">
        <v>698528000</v>
      </c>
      <c r="H11" s="17">
        <v>9660760556</v>
      </c>
      <c r="I11" s="17">
        <v>1114734</v>
      </c>
      <c r="J11" s="17">
        <v>734281</v>
      </c>
      <c r="K11" s="17">
        <v>4406962</v>
      </c>
      <c r="L11" s="17">
        <v>3578332</v>
      </c>
      <c r="M11" s="17">
        <v>245070</v>
      </c>
      <c r="N11" s="17">
        <v>-531868000</v>
      </c>
      <c r="O11" s="17">
        <v>380453</v>
      </c>
      <c r="P11" s="17">
        <v>828630</v>
      </c>
      <c r="Q11" s="17">
        <v>-448177</v>
      </c>
      <c r="R11" s="18">
        <v>-5.5054464595923891E-2</v>
      </c>
      <c r="S11" s="19">
        <v>1.0351151901585335E-10</v>
      </c>
      <c r="T11" s="19">
        <v>-4.6391482057968104E-5</v>
      </c>
      <c r="U11" s="19">
        <v>2.5367567965215183E-5</v>
      </c>
      <c r="V11" s="18">
        <v>13.924126369392773</v>
      </c>
      <c r="W11" s="18">
        <v>0.51812998021193524</v>
      </c>
      <c r="X11" s="18">
        <v>0.91474725734088114</v>
      </c>
      <c r="Y11" s="18">
        <v>2.0925602538915775E-2</v>
      </c>
      <c r="Z11" s="20">
        <v>33</v>
      </c>
      <c r="AA11" s="25">
        <v>3.4965075614664802</v>
      </c>
      <c r="AB11" s="21">
        <v>0.62780000000000002</v>
      </c>
      <c r="AC11">
        <v>23.429468265300869</v>
      </c>
      <c r="AD11">
        <v>10</v>
      </c>
      <c r="AE11">
        <v>2.3025850929940459</v>
      </c>
      <c r="AF11">
        <v>1</v>
      </c>
      <c r="AG11">
        <v>3.7961669392930802E-2</v>
      </c>
      <c r="AH11">
        <v>0.12564916898668299</v>
      </c>
    </row>
    <row r="12" spans="1:34" s="5" customFormat="1" ht="12.5" x14ac:dyDescent="0.25">
      <c r="A12" s="16">
        <v>2013</v>
      </c>
      <c r="B12" s="16" t="s">
        <v>6</v>
      </c>
      <c r="C12" s="17">
        <v>131482189</v>
      </c>
      <c r="D12" s="17">
        <v>160668</v>
      </c>
      <c r="E12" s="17">
        <v>131321521</v>
      </c>
      <c r="F12" s="17">
        <v>6027752</v>
      </c>
      <c r="G12" s="17">
        <v>-1490927</v>
      </c>
      <c r="H12" s="17">
        <v>890313606</v>
      </c>
      <c r="I12" s="17">
        <v>130995</v>
      </c>
      <c r="J12" s="17">
        <v>111789</v>
      </c>
      <c r="K12" s="17">
        <v>450533</v>
      </c>
      <c r="L12" s="17">
        <v>357799</v>
      </c>
      <c r="M12" s="17">
        <v>26812</v>
      </c>
      <c r="N12" s="17">
        <v>4536825</v>
      </c>
      <c r="O12" s="17">
        <v>19206</v>
      </c>
      <c r="P12" s="17">
        <v>92734</v>
      </c>
      <c r="Q12" s="17">
        <v>-73528</v>
      </c>
      <c r="R12" s="18">
        <v>5.0957606055051126E-3</v>
      </c>
      <c r="S12" s="19">
        <v>1.1231997278945326E-9</v>
      </c>
      <c r="T12" s="19">
        <v>-8.2586629592629182E-5</v>
      </c>
      <c r="U12" s="19">
        <v>3.0115231104308205E-5</v>
      </c>
      <c r="V12" s="18">
        <v>11.782914433515943</v>
      </c>
      <c r="W12" s="18">
        <v>0.17180581273649465</v>
      </c>
      <c r="X12" s="18">
        <v>1.2219753962264806E-3</v>
      </c>
      <c r="Y12" s="18">
        <v>2.3660686682805399E-2</v>
      </c>
      <c r="Z12" s="20">
        <v>31</v>
      </c>
      <c r="AA12" s="25">
        <v>3.4339872044851463</v>
      </c>
      <c r="AB12" s="21">
        <v>0.9486</v>
      </c>
      <c r="AC12">
        <v>20.731511914404209</v>
      </c>
      <c r="AD12">
        <v>4</v>
      </c>
      <c r="AE12">
        <v>1.3862943611198906</v>
      </c>
      <c r="AF12">
        <v>0</v>
      </c>
      <c r="AG12">
        <v>-1.46201455351692E-2</v>
      </c>
      <c r="AH12">
        <v>1.4477714621864699E-3</v>
      </c>
    </row>
    <row r="13" spans="1:34" s="5" customFormat="1" ht="12.5" x14ac:dyDescent="0.25">
      <c r="A13" s="16">
        <v>2014</v>
      </c>
      <c r="B13" s="16" t="s">
        <v>6</v>
      </c>
      <c r="C13" s="17">
        <v>131573290</v>
      </c>
      <c r="D13" s="17">
        <v>792674</v>
      </c>
      <c r="E13" s="17">
        <v>130777616</v>
      </c>
      <c r="F13" s="17">
        <v>5396968</v>
      </c>
      <c r="G13" s="17">
        <v>7880607</v>
      </c>
      <c r="H13" s="17">
        <v>131482189</v>
      </c>
      <c r="I13" s="17">
        <v>148637</v>
      </c>
      <c r="J13" s="17">
        <v>130995</v>
      </c>
      <c r="K13" s="17">
        <v>617978</v>
      </c>
      <c r="L13" s="17">
        <v>450533</v>
      </c>
      <c r="M13" s="17">
        <v>28392</v>
      </c>
      <c r="N13" s="17">
        <v>-2483639</v>
      </c>
      <c r="O13" s="17">
        <v>17642</v>
      </c>
      <c r="P13" s="17">
        <v>167445</v>
      </c>
      <c r="Q13" s="17">
        <v>-149803</v>
      </c>
      <c r="R13" s="18">
        <v>-1.8889547085347052E-2</v>
      </c>
      <c r="S13" s="19">
        <v>7.6055928761575459E-9</v>
      </c>
      <c r="T13" s="19">
        <v>-1.1393406296270289E-3</v>
      </c>
      <c r="U13" s="19">
        <v>2.1593799293986504E-4</v>
      </c>
      <c r="V13" s="18">
        <v>11.909262370851522</v>
      </c>
      <c r="W13" s="18">
        <v>0.13467689606473529</v>
      </c>
      <c r="X13" s="18">
        <v>6.0245814329032889E-3</v>
      </c>
      <c r="Y13" s="18">
        <v>2.1002061223957317E-2</v>
      </c>
      <c r="Z13" s="20">
        <v>32</v>
      </c>
      <c r="AA13" s="25">
        <v>3.4657359027997265</v>
      </c>
      <c r="AB13" s="21">
        <v>0.9486</v>
      </c>
      <c r="AC13">
        <v>20.879726518663709</v>
      </c>
      <c r="AD13">
        <v>5</v>
      </c>
      <c r="AE13">
        <v>1.6094379124341003</v>
      </c>
      <c r="AF13">
        <v>0</v>
      </c>
      <c r="AG13">
        <v>-2.5429272168505301E-3</v>
      </c>
      <c r="AH13">
        <v>2.54344161518473E-2</v>
      </c>
    </row>
    <row r="14" spans="1:34" s="5" customFormat="1" ht="12.5" x14ac:dyDescent="0.25">
      <c r="A14" s="16">
        <v>2015</v>
      </c>
      <c r="B14" s="16" t="s">
        <v>6</v>
      </c>
      <c r="C14" s="17">
        <v>129378261</v>
      </c>
      <c r="D14" s="17">
        <v>1028268</v>
      </c>
      <c r="E14" s="17">
        <v>128349993</v>
      </c>
      <c r="F14" s="17">
        <v>2523055</v>
      </c>
      <c r="G14" s="17">
        <v>5312976</v>
      </c>
      <c r="H14" s="17">
        <v>131573290</v>
      </c>
      <c r="I14" s="17">
        <v>152508</v>
      </c>
      <c r="J14" s="17">
        <v>148637</v>
      </c>
      <c r="K14" s="17">
        <v>592957</v>
      </c>
      <c r="L14" s="17">
        <v>617978</v>
      </c>
      <c r="M14" s="17">
        <v>29971</v>
      </c>
      <c r="N14" s="17">
        <v>-2789921</v>
      </c>
      <c r="O14" s="17">
        <v>3871</v>
      </c>
      <c r="P14" s="17">
        <v>-25021</v>
      </c>
      <c r="Q14" s="17">
        <v>-21150</v>
      </c>
      <c r="R14" s="18">
        <v>-2.1204311300568678E-2</v>
      </c>
      <c r="S14" s="19">
        <v>7.6003267836503899E-9</v>
      </c>
      <c r="T14" s="19">
        <v>-1.6074691147420573E-4</v>
      </c>
      <c r="U14" s="19">
        <v>2.2778939403278583E-4</v>
      </c>
      <c r="V14" s="18">
        <v>11.934972332670071</v>
      </c>
      <c r="W14" s="18">
        <v>2.6043313576027502E-2</v>
      </c>
      <c r="X14" s="18">
        <v>7.9477648876421364E-3</v>
      </c>
      <c r="Y14" s="18">
        <v>2.0311946624492882E-2</v>
      </c>
      <c r="Z14" s="20">
        <v>33</v>
      </c>
      <c r="AA14" s="25">
        <v>3.4965075614664802</v>
      </c>
      <c r="AB14" s="21">
        <v>0.9486</v>
      </c>
      <c r="AC14">
        <v>20.871284188999098</v>
      </c>
      <c r="AD14">
        <v>6</v>
      </c>
      <c r="AE14">
        <v>1.791759469228055</v>
      </c>
      <c r="AF14">
        <v>1</v>
      </c>
      <c r="AG14">
        <v>-1.9094937806193499E-3</v>
      </c>
      <c r="AH14">
        <v>2.7747913368359401E-2</v>
      </c>
    </row>
    <row r="15" spans="1:34" s="5" customFormat="1" ht="12.5" x14ac:dyDescent="0.25">
      <c r="A15" s="16">
        <v>2016</v>
      </c>
      <c r="B15" s="16" t="s">
        <v>6</v>
      </c>
      <c r="C15" s="17">
        <v>131366185</v>
      </c>
      <c r="D15" s="17">
        <v>1266203</v>
      </c>
      <c r="E15" s="17">
        <v>130099982</v>
      </c>
      <c r="F15" s="17">
        <v>3730260</v>
      </c>
      <c r="G15" s="17">
        <v>1502130</v>
      </c>
      <c r="H15" s="17">
        <v>129378261</v>
      </c>
      <c r="I15" s="17">
        <v>176352</v>
      </c>
      <c r="J15" s="17">
        <v>152508</v>
      </c>
      <c r="K15" s="17">
        <v>659937</v>
      </c>
      <c r="L15" s="17">
        <v>592957</v>
      </c>
      <c r="M15" s="17">
        <v>32283</v>
      </c>
      <c r="N15" s="17">
        <v>2228130</v>
      </c>
      <c r="O15" s="17">
        <v>23844</v>
      </c>
      <c r="P15" s="17">
        <v>66980</v>
      </c>
      <c r="Q15" s="17">
        <v>-43136</v>
      </c>
      <c r="R15" s="18">
        <v>1.7221826779693691E-2</v>
      </c>
      <c r="S15" s="19">
        <v>7.7292737765272634E-9</v>
      </c>
      <c r="T15" s="19">
        <v>-3.3340995362428003E-4</v>
      </c>
      <c r="U15" s="19">
        <v>2.4952414532762964E-4</v>
      </c>
      <c r="V15" s="18">
        <v>12.080237276682961</v>
      </c>
      <c r="W15" s="18">
        <v>0.15634589660870249</v>
      </c>
      <c r="X15" s="18">
        <v>9.6387285662592696E-3</v>
      </c>
      <c r="Y15" s="18">
        <v>2.1217952426066125E-2</v>
      </c>
      <c r="Z15" s="20">
        <v>34</v>
      </c>
      <c r="AA15" s="25">
        <v>3.5263605246161616</v>
      </c>
      <c r="AB15" s="21">
        <v>0.9486</v>
      </c>
      <c r="AC15">
        <v>20.88264119690286</v>
      </c>
      <c r="AD15">
        <v>7</v>
      </c>
      <c r="AE15">
        <v>1.9459101490553132</v>
      </c>
      <c r="AF15">
        <v>1</v>
      </c>
      <c r="AG15">
        <v>3.60207079658327E-4</v>
      </c>
      <c r="AH15">
        <v>1.06781290149843E-2</v>
      </c>
    </row>
    <row r="16" spans="1:34" s="5" customFormat="1" ht="12.5" x14ac:dyDescent="0.25">
      <c r="A16" s="16">
        <v>2017</v>
      </c>
      <c r="B16" s="16" t="s">
        <v>6</v>
      </c>
      <c r="C16" s="17">
        <v>131636805</v>
      </c>
      <c r="D16" s="17">
        <v>1992208</v>
      </c>
      <c r="E16" s="17">
        <v>129644597</v>
      </c>
      <c r="F16" s="17">
        <v>1524886</v>
      </c>
      <c r="G16" s="17">
        <v>2825839</v>
      </c>
      <c r="H16" s="17">
        <v>131366185</v>
      </c>
      <c r="I16" s="17">
        <v>169881</v>
      </c>
      <c r="J16" s="17">
        <v>176352</v>
      </c>
      <c r="K16" s="17">
        <v>649797</v>
      </c>
      <c r="L16" s="17">
        <v>659937</v>
      </c>
      <c r="M16" s="17">
        <v>33402</v>
      </c>
      <c r="N16" s="17">
        <v>-1300953</v>
      </c>
      <c r="O16" s="17">
        <v>-6471</v>
      </c>
      <c r="P16" s="17">
        <v>-10140</v>
      </c>
      <c r="Q16" s="17">
        <v>-16611</v>
      </c>
      <c r="R16" s="18">
        <v>-9.9032563060273086E-3</v>
      </c>
      <c r="S16" s="19">
        <v>7.6123090580730502E-9</v>
      </c>
      <c r="T16" s="19">
        <v>-1.2644806576365142E-4</v>
      </c>
      <c r="U16" s="19">
        <v>2.54266347157756E-4</v>
      </c>
      <c r="V16" s="18">
        <v>12.042853470918006</v>
      </c>
      <c r="W16" s="18">
        <v>-3.6693658138268914E-2</v>
      </c>
      <c r="X16" s="18">
        <v>1.5134126052360508E-2</v>
      </c>
      <c r="Y16" s="18">
        <v>1.8644423825764412E-2</v>
      </c>
      <c r="Z16" s="20">
        <v>35</v>
      </c>
      <c r="AA16" s="25">
        <v>3.5553480614894135</v>
      </c>
      <c r="AB16" s="21">
        <v>0.9486</v>
      </c>
      <c r="AC16">
        <v>20.894003184292561</v>
      </c>
      <c r="AD16">
        <v>8</v>
      </c>
      <c r="AE16">
        <v>2.0794415416798357</v>
      </c>
      <c r="AF16">
        <v>1</v>
      </c>
      <c r="AG16">
        <v>9.6033284649978297E-3</v>
      </c>
      <c r="AH16">
        <v>1.6446861286728998E-2</v>
      </c>
    </row>
    <row r="17" spans="1:34" s="5" customFormat="1" ht="12.5" x14ac:dyDescent="0.25">
      <c r="A17" s="16">
        <v>2018</v>
      </c>
      <c r="B17" s="16" t="s">
        <v>6</v>
      </c>
      <c r="C17" s="17">
        <v>132792066</v>
      </c>
      <c r="D17" s="17">
        <v>1685983</v>
      </c>
      <c r="E17" s="17">
        <v>131106083</v>
      </c>
      <c r="F17" s="17">
        <v>3552392</v>
      </c>
      <c r="G17" s="17">
        <v>-1262734</v>
      </c>
      <c r="H17" s="17">
        <v>131636805</v>
      </c>
      <c r="I17" s="17">
        <v>177249</v>
      </c>
      <c r="J17" s="17">
        <v>169881</v>
      </c>
      <c r="K17" s="17">
        <v>633035</v>
      </c>
      <c r="L17" s="17">
        <v>649797</v>
      </c>
      <c r="M17" s="17">
        <v>37282</v>
      </c>
      <c r="N17" s="17">
        <v>2289658</v>
      </c>
      <c r="O17" s="17">
        <v>7368</v>
      </c>
      <c r="P17" s="17">
        <v>-16762</v>
      </c>
      <c r="Q17" s="17">
        <v>-9394</v>
      </c>
      <c r="R17" s="18">
        <v>1.7393752453958449E-2</v>
      </c>
      <c r="S17" s="19">
        <v>7.5966596120287173E-9</v>
      </c>
      <c r="T17" s="19">
        <v>-7.1363020395397774E-5</v>
      </c>
      <c r="U17" s="19">
        <v>2.8321866365565464E-4</v>
      </c>
      <c r="V17" s="18">
        <v>12.085310802629516</v>
      </c>
      <c r="W17" s="18">
        <v>4.3371536546170555E-2</v>
      </c>
      <c r="X17" s="18">
        <v>1.2696413654713377E-2</v>
      </c>
      <c r="Y17" s="18">
        <v>1.685522321335646E-2</v>
      </c>
      <c r="Z17" s="20">
        <v>36</v>
      </c>
      <c r="AA17" s="25">
        <v>3.5835189384561099</v>
      </c>
      <c r="AB17" s="21">
        <v>0.9486</v>
      </c>
      <c r="AC17">
        <v>21.081847577193031</v>
      </c>
      <c r="AD17">
        <v>9</v>
      </c>
      <c r="AE17">
        <v>2.1972245773362196</v>
      </c>
      <c r="AF17">
        <v>1</v>
      </c>
      <c r="AG17">
        <v>1.05666207685164E-2</v>
      </c>
      <c r="AH17">
        <v>1.0850142808253201E-2</v>
      </c>
    </row>
    <row r="18" spans="1:34" s="5" customFormat="1" ht="12.5" x14ac:dyDescent="0.25">
      <c r="A18" s="16">
        <v>2019</v>
      </c>
      <c r="B18" s="16" t="s">
        <v>6</v>
      </c>
      <c r="C18" s="17">
        <v>134019820</v>
      </c>
      <c r="D18" s="17">
        <v>2080359</v>
      </c>
      <c r="E18" s="17">
        <v>131939461</v>
      </c>
      <c r="F18" s="17">
        <v>3601460</v>
      </c>
      <c r="G18" s="17">
        <v>2606461</v>
      </c>
      <c r="H18" s="17">
        <v>132792066</v>
      </c>
      <c r="I18" s="17">
        <v>181249.93</v>
      </c>
      <c r="J18" s="17">
        <v>177248</v>
      </c>
      <c r="K18" s="17">
        <v>715881</v>
      </c>
      <c r="L18" s="17">
        <v>633035</v>
      </c>
      <c r="M18" s="17">
        <v>43697</v>
      </c>
      <c r="N18" s="17">
        <v>994999</v>
      </c>
      <c r="O18" s="17">
        <v>4001.929999999993</v>
      </c>
      <c r="P18" s="17">
        <v>82846</v>
      </c>
      <c r="Q18" s="17">
        <v>-78844.070000000007</v>
      </c>
      <c r="R18" s="18">
        <v>7.4929100056324149E-3</v>
      </c>
      <c r="S18" s="19">
        <v>7.5305703881435208E-9</v>
      </c>
      <c r="T18" s="19">
        <v>-5.9374081882271497E-4</v>
      </c>
      <c r="U18" s="19">
        <v>3.290633342507074E-4</v>
      </c>
      <c r="V18" s="18">
        <v>12.107632186509949</v>
      </c>
      <c r="W18" s="18">
        <v>2.2578139104531464E-2</v>
      </c>
      <c r="X18" s="18">
        <v>1.5522771184142763E-2</v>
      </c>
      <c r="Y18" s="18">
        <v>1.6434950889999779E-2</v>
      </c>
      <c r="Z18" s="20">
        <v>37</v>
      </c>
      <c r="AA18" s="25">
        <v>3.6109179126442243</v>
      </c>
      <c r="AB18" s="21">
        <v>0.9486</v>
      </c>
      <c r="AC18">
        <v>21.235194329329179</v>
      </c>
      <c r="AD18">
        <v>10</v>
      </c>
      <c r="AE18">
        <v>2.3025850929940459</v>
      </c>
      <c r="AF18">
        <v>1</v>
      </c>
      <c r="AG18">
        <v>9.8986208270257607E-3</v>
      </c>
      <c r="AH18">
        <v>9.4892485458142502E-4</v>
      </c>
    </row>
    <row r="19" spans="1:34" s="5" customFormat="1" ht="12.5" x14ac:dyDescent="0.25">
      <c r="A19" s="16">
        <v>2020</v>
      </c>
      <c r="B19" s="16" t="s">
        <v>6</v>
      </c>
      <c r="C19" s="17">
        <v>134719755</v>
      </c>
      <c r="D19" s="17">
        <v>2492400</v>
      </c>
      <c r="E19" s="17">
        <v>132227355</v>
      </c>
      <c r="F19" s="17">
        <v>3060273</v>
      </c>
      <c r="G19" s="17">
        <v>2215658</v>
      </c>
      <c r="H19" s="17">
        <v>134019820</v>
      </c>
      <c r="I19" s="17">
        <v>198371</v>
      </c>
      <c r="J19" s="17">
        <v>181249.93</v>
      </c>
      <c r="K19" s="17">
        <v>822772</v>
      </c>
      <c r="L19" s="17">
        <v>715881</v>
      </c>
      <c r="M19" s="17">
        <v>16322</v>
      </c>
      <c r="N19" s="17">
        <v>844615</v>
      </c>
      <c r="O19" s="17">
        <v>17121.070000000007</v>
      </c>
      <c r="P19" s="17">
        <v>106891</v>
      </c>
      <c r="Q19" s="17">
        <v>-89769.93</v>
      </c>
      <c r="R19" s="18">
        <v>6.3021648588992285E-3</v>
      </c>
      <c r="S19" s="19">
        <v>7.4615829210933127E-9</v>
      </c>
      <c r="T19" s="19">
        <v>-6.698257765157422E-4</v>
      </c>
      <c r="U19" s="19">
        <v>1.2178795643808505E-4</v>
      </c>
      <c r="V19" s="18">
        <v>12.19789429379429</v>
      </c>
      <c r="W19" s="18">
        <v>9.4461112343602049E-2</v>
      </c>
      <c r="X19" s="18">
        <v>1.8500627469223055E-2</v>
      </c>
      <c r="Y19" s="18">
        <v>1.8205614033051525E-2</v>
      </c>
      <c r="Z19" s="20">
        <v>38</v>
      </c>
      <c r="AA19" s="25">
        <v>3.6375861597263857</v>
      </c>
      <c r="AB19" s="21">
        <v>0.9486</v>
      </c>
      <c r="AC19">
        <v>21.44519165724784</v>
      </c>
      <c r="AD19">
        <v>1</v>
      </c>
      <c r="AE19">
        <v>0</v>
      </c>
      <c r="AF19">
        <v>0</v>
      </c>
      <c r="AG19">
        <v>-1.2013812773747599E-2</v>
      </c>
      <c r="AH19">
        <v>2.41822980191094E-4</v>
      </c>
    </row>
    <row r="20" spans="1:34" s="5" customFormat="1" ht="12.5" x14ac:dyDescent="0.25">
      <c r="A20" s="16">
        <v>2021</v>
      </c>
      <c r="B20" s="16" t="s">
        <v>6</v>
      </c>
      <c r="C20" s="17">
        <v>141899520</v>
      </c>
      <c r="D20" s="17">
        <v>7556691</v>
      </c>
      <c r="E20" s="17">
        <v>134342829</v>
      </c>
      <c r="F20" s="17">
        <v>5088698</v>
      </c>
      <c r="G20" s="17">
        <v>-4142957</v>
      </c>
      <c r="H20" s="17">
        <v>134719755</v>
      </c>
      <c r="I20" s="17">
        <v>212012</v>
      </c>
      <c r="J20" s="17">
        <v>198371</v>
      </c>
      <c r="K20" s="17">
        <v>1063589</v>
      </c>
      <c r="L20" s="17">
        <v>822772</v>
      </c>
      <c r="M20" s="17">
        <v>47085</v>
      </c>
      <c r="N20" s="17">
        <v>945741</v>
      </c>
      <c r="O20" s="17">
        <v>13641</v>
      </c>
      <c r="P20" s="17">
        <v>240817</v>
      </c>
      <c r="Q20" s="17">
        <v>-227176</v>
      </c>
      <c r="R20" s="18">
        <v>7.0200617570897452E-3</v>
      </c>
      <c r="S20" s="19">
        <v>7.422816349391372E-9</v>
      </c>
      <c r="T20" s="19">
        <v>-1.6862857269893342E-3</v>
      </c>
      <c r="U20" s="19">
        <v>3.4950330781109273E-4</v>
      </c>
      <c r="V20" s="18">
        <v>12.264398155825802</v>
      </c>
      <c r="W20" s="18">
        <v>6.8765091671665723E-2</v>
      </c>
      <c r="X20" s="18">
        <v>5.3253816503396209E-2</v>
      </c>
      <c r="Y20" s="18">
        <v>1.4830743235685968E-2</v>
      </c>
      <c r="Z20" s="20">
        <v>39</v>
      </c>
      <c r="AA20" s="25">
        <v>3.6635616461296463</v>
      </c>
      <c r="AB20" s="21">
        <v>0.9486</v>
      </c>
      <c r="AC20">
        <v>21.636831912312921</v>
      </c>
      <c r="AD20">
        <v>2</v>
      </c>
      <c r="AE20">
        <v>0.69314718055994529</v>
      </c>
      <c r="AF20">
        <v>0</v>
      </c>
      <c r="AG20">
        <v>4.8852820259003905E-4</v>
      </c>
      <c r="AH20">
        <v>4.7357170476142201E-4</v>
      </c>
    </row>
    <row r="21" spans="1:34" s="5" customFormat="1" ht="12.5" x14ac:dyDescent="0.25">
      <c r="A21" s="16">
        <v>2022</v>
      </c>
      <c r="B21" s="16" t="s">
        <v>6</v>
      </c>
      <c r="C21" s="17">
        <v>146678047</v>
      </c>
      <c r="D21" s="17">
        <v>9031572</v>
      </c>
      <c r="E21" s="17">
        <v>137646475</v>
      </c>
      <c r="F21" s="17">
        <v>7264188</v>
      </c>
      <c r="G21" s="17">
        <v>5975272</v>
      </c>
      <c r="H21" s="17">
        <v>141899520</v>
      </c>
      <c r="I21" s="17">
        <v>282982</v>
      </c>
      <c r="J21" s="17">
        <v>212012</v>
      </c>
      <c r="K21" s="17">
        <v>1195627</v>
      </c>
      <c r="L21" s="17">
        <v>1063589</v>
      </c>
      <c r="M21" s="17">
        <v>50968</v>
      </c>
      <c r="N21" s="17">
        <v>1288916</v>
      </c>
      <c r="O21" s="17">
        <v>70970</v>
      </c>
      <c r="P21" s="17">
        <v>132038</v>
      </c>
      <c r="Q21" s="17">
        <v>-61068</v>
      </c>
      <c r="R21" s="18">
        <v>9.0833006341388602E-3</v>
      </c>
      <c r="S21" s="19">
        <v>7.0472401879865414E-9</v>
      </c>
      <c r="T21" s="19">
        <v>-4.3036086379996213E-4</v>
      </c>
      <c r="U21" s="19">
        <v>3.5918373790129807E-4</v>
      </c>
      <c r="V21" s="18">
        <v>12.553138570362256</v>
      </c>
      <c r="W21" s="18">
        <v>0.33474520310171124</v>
      </c>
      <c r="X21" s="18">
        <v>6.1574122267935572E-2</v>
      </c>
      <c r="Y21" s="18">
        <v>1.2985015292128978E-2</v>
      </c>
      <c r="Z21" s="20">
        <v>40</v>
      </c>
      <c r="AA21" s="25">
        <v>3.6888794541139363</v>
      </c>
      <c r="AB21" s="21">
        <v>0.9486</v>
      </c>
      <c r="AC21">
        <v>21.81621296116391</v>
      </c>
      <c r="AD21">
        <v>3</v>
      </c>
      <c r="AE21">
        <v>1.0986122886681098</v>
      </c>
      <c r="AF21">
        <v>0</v>
      </c>
      <c r="AG21">
        <v>-1.1709109893485999E-2</v>
      </c>
      <c r="AH21">
        <v>2.5394620704950999E-3</v>
      </c>
    </row>
    <row r="22" spans="1:34" s="5" customFormat="1" ht="12.5" x14ac:dyDescent="0.25">
      <c r="A22" s="16">
        <v>2013</v>
      </c>
      <c r="B22" s="16" t="s">
        <v>11</v>
      </c>
      <c r="C22" s="17">
        <v>1081217000</v>
      </c>
      <c r="D22" s="17">
        <v>917762000</v>
      </c>
      <c r="E22" s="17">
        <v>163455000</v>
      </c>
      <c r="F22" s="17">
        <v>7721000</v>
      </c>
      <c r="G22" s="17">
        <v>15048000</v>
      </c>
      <c r="H22" s="17">
        <v>914360000</v>
      </c>
      <c r="I22" s="17">
        <v>126918</v>
      </c>
      <c r="J22" s="17">
        <v>119137</v>
      </c>
      <c r="K22" s="17">
        <v>506951</v>
      </c>
      <c r="L22" s="17">
        <v>443500</v>
      </c>
      <c r="M22" s="17">
        <v>470</v>
      </c>
      <c r="N22" s="17">
        <v>-7327000</v>
      </c>
      <c r="O22" s="17">
        <v>7781</v>
      </c>
      <c r="P22" s="17">
        <v>63451</v>
      </c>
      <c r="Q22" s="17">
        <v>-55670</v>
      </c>
      <c r="R22" s="18">
        <v>-8.013255173017193E-3</v>
      </c>
      <c r="S22" s="19">
        <v>1.0936611400323724E-9</v>
      </c>
      <c r="T22" s="19">
        <v>-6.0884115665602173E-5</v>
      </c>
      <c r="U22" s="19">
        <v>5.1402073581521501E-7</v>
      </c>
      <c r="V22" s="18">
        <v>11.751296487615205</v>
      </c>
      <c r="W22" s="18">
        <v>6.5311364227737811E-2</v>
      </c>
      <c r="X22" s="18">
        <v>0.84882313171176549</v>
      </c>
      <c r="Y22" s="18">
        <v>3.4655392950721273E-2</v>
      </c>
      <c r="Z22" s="20">
        <v>25</v>
      </c>
      <c r="AA22" s="25">
        <v>3.2188758248682006</v>
      </c>
      <c r="AB22" s="21">
        <v>0.95399999999999996</v>
      </c>
      <c r="AC22">
        <v>20.801353095513399</v>
      </c>
      <c r="AD22">
        <v>3</v>
      </c>
      <c r="AE22">
        <v>1.0986122886681098</v>
      </c>
      <c r="AF22">
        <v>0</v>
      </c>
      <c r="AG22">
        <v>-1.8152324618151999E-2</v>
      </c>
      <c r="AH22">
        <v>9.3682110744645497E-2</v>
      </c>
    </row>
    <row r="23" spans="1:34" s="5" customFormat="1" ht="12.5" x14ac:dyDescent="0.25">
      <c r="A23" s="16">
        <v>2014</v>
      </c>
      <c r="B23" s="16" t="s">
        <v>11</v>
      </c>
      <c r="C23" s="17">
        <v>1187025000</v>
      </c>
      <c r="D23" s="17">
        <v>1013914000</v>
      </c>
      <c r="E23" s="17">
        <v>173111000</v>
      </c>
      <c r="F23" s="17">
        <v>13796000</v>
      </c>
      <c r="G23" s="17">
        <v>53565000</v>
      </c>
      <c r="H23" s="17">
        <v>1081217000</v>
      </c>
      <c r="I23" s="17">
        <v>136094</v>
      </c>
      <c r="J23" s="17">
        <v>126918</v>
      </c>
      <c r="K23" s="17">
        <v>610421</v>
      </c>
      <c r="L23" s="17">
        <v>506951</v>
      </c>
      <c r="M23" s="17">
        <v>37958</v>
      </c>
      <c r="N23" s="17">
        <v>-39769000</v>
      </c>
      <c r="O23" s="17">
        <v>9176</v>
      </c>
      <c r="P23" s="17">
        <v>103470</v>
      </c>
      <c r="Q23" s="17">
        <v>-94294</v>
      </c>
      <c r="R23" s="18">
        <v>-3.6781700620689466E-2</v>
      </c>
      <c r="S23" s="19">
        <v>9.2488371899442945E-10</v>
      </c>
      <c r="T23" s="19">
        <v>-8.7210985398860735E-5</v>
      </c>
      <c r="U23" s="19">
        <v>3.5106736205590555E-5</v>
      </c>
      <c r="V23" s="18">
        <v>11.821101102436328</v>
      </c>
      <c r="W23" s="18">
        <v>7.2298649521738451E-2</v>
      </c>
      <c r="X23" s="18">
        <v>0.85416398138202654</v>
      </c>
      <c r="Y23" s="18">
        <v>3.1977422547966552E-2</v>
      </c>
      <c r="Z23" s="20">
        <v>26</v>
      </c>
      <c r="AA23" s="25">
        <v>3.2580965380214821</v>
      </c>
      <c r="AB23" s="21">
        <v>16.8504</v>
      </c>
      <c r="AC23">
        <v>20.894716013851731</v>
      </c>
      <c r="AD23">
        <v>4</v>
      </c>
      <c r="AE23">
        <v>1.3862943611198906</v>
      </c>
      <c r="AF23">
        <v>0</v>
      </c>
      <c r="AG23">
        <v>3.8058622771788897E-2</v>
      </c>
      <c r="AH23">
        <v>6.4913660165874104E-2</v>
      </c>
    </row>
    <row r="24" spans="1:34" s="5" customFormat="1" ht="12.5" x14ac:dyDescent="0.25">
      <c r="A24" s="16">
        <v>2015</v>
      </c>
      <c r="B24" s="16" t="s">
        <v>11</v>
      </c>
      <c r="C24" s="17">
        <v>1231722000</v>
      </c>
      <c r="D24" s="17">
        <v>1048206000</v>
      </c>
      <c r="E24" s="17">
        <v>183516000</v>
      </c>
      <c r="F24" s="17">
        <v>13904000</v>
      </c>
      <c r="G24" s="17">
        <v>107132000</v>
      </c>
      <c r="H24" s="17">
        <v>1187025000</v>
      </c>
      <c r="I24" s="17">
        <v>146948</v>
      </c>
      <c r="J24" s="17">
        <v>136094</v>
      </c>
      <c r="K24" s="17">
        <v>658145</v>
      </c>
      <c r="L24" s="17">
        <v>610421</v>
      </c>
      <c r="M24" s="17">
        <v>39985</v>
      </c>
      <c r="N24" s="17">
        <v>-93228000</v>
      </c>
      <c r="O24" s="17">
        <v>10854</v>
      </c>
      <c r="P24" s="17">
        <v>47724</v>
      </c>
      <c r="Q24" s="17">
        <v>-36870</v>
      </c>
      <c r="R24" s="18">
        <v>-7.8539205155746514E-2</v>
      </c>
      <c r="S24" s="19">
        <v>8.4244224005391634E-10</v>
      </c>
      <c r="T24" s="19">
        <v>-3.1060845390787895E-5</v>
      </c>
      <c r="U24" s="19">
        <v>3.3685052968555845E-5</v>
      </c>
      <c r="V24" s="18">
        <v>11.897834061682993</v>
      </c>
      <c r="W24" s="18">
        <v>7.9753699648772172E-2</v>
      </c>
      <c r="X24" s="18">
        <v>0.85100858797683243</v>
      </c>
      <c r="Y24" s="18">
        <v>3.2462682326044351E-2</v>
      </c>
      <c r="Z24" s="20">
        <v>27</v>
      </c>
      <c r="AA24" s="25">
        <v>3.2958368660043291</v>
      </c>
      <c r="AB24" s="21">
        <v>0.95399999999999996</v>
      </c>
      <c r="AC24">
        <v>20.931679027244449</v>
      </c>
      <c r="AD24">
        <v>5</v>
      </c>
      <c r="AE24">
        <v>1.6094379124341003</v>
      </c>
      <c r="AF24">
        <v>1</v>
      </c>
      <c r="AG24">
        <v>3.4780841250387197E-2</v>
      </c>
      <c r="AH24">
        <v>2.31561623695971E-2</v>
      </c>
    </row>
    <row r="25" spans="1:34" s="5" customFormat="1" ht="12.5" x14ac:dyDescent="0.25">
      <c r="A25" s="16">
        <v>2016</v>
      </c>
      <c r="B25" s="16" t="s">
        <v>11</v>
      </c>
      <c r="C25" s="17">
        <v>1298141000</v>
      </c>
      <c r="D25" s="17">
        <v>1112739000</v>
      </c>
      <c r="E25" s="17">
        <v>185402000</v>
      </c>
      <c r="F25" s="17">
        <v>9734000</v>
      </c>
      <c r="G25" s="17">
        <v>-56907000</v>
      </c>
      <c r="H25" s="17">
        <v>1231722000</v>
      </c>
      <c r="I25" s="17">
        <v>152021</v>
      </c>
      <c r="J25" s="17">
        <v>146948</v>
      </c>
      <c r="K25" s="17">
        <v>767601</v>
      </c>
      <c r="L25" s="17">
        <v>658145</v>
      </c>
      <c r="M25" s="17">
        <v>40356</v>
      </c>
      <c r="N25" s="17">
        <v>-47173000</v>
      </c>
      <c r="O25" s="17">
        <v>5073</v>
      </c>
      <c r="P25" s="17">
        <v>109456</v>
      </c>
      <c r="Q25" s="17">
        <v>-104383</v>
      </c>
      <c r="R25" s="18">
        <v>-3.8298414739689639E-2</v>
      </c>
      <c r="S25" s="19">
        <v>8.1187150996734654E-10</v>
      </c>
      <c r="T25" s="19">
        <v>-8.4745583824921529E-5</v>
      </c>
      <c r="U25" s="19">
        <v>3.2763886656242233E-5</v>
      </c>
      <c r="V25" s="18">
        <v>11.931773948180227</v>
      </c>
      <c r="W25" s="18">
        <v>3.4522416092767509E-2</v>
      </c>
      <c r="X25" s="18">
        <v>0.8571788426680923</v>
      </c>
      <c r="Y25" s="18">
        <v>3.1087532093971301E-2</v>
      </c>
      <c r="Z25" s="20">
        <v>28</v>
      </c>
      <c r="AA25" s="25">
        <v>3.3322045101752038</v>
      </c>
      <c r="AB25" s="21">
        <v>0.95399999999999996</v>
      </c>
      <c r="AC25">
        <v>20.984199077988119</v>
      </c>
      <c r="AD25">
        <v>6</v>
      </c>
      <c r="AE25">
        <v>1.791759469228055</v>
      </c>
      <c r="AF25">
        <v>1</v>
      </c>
      <c r="AG25">
        <v>2.3736357456602401E-2</v>
      </c>
      <c r="AH25">
        <v>6.3396946629826603E-2</v>
      </c>
    </row>
    <row r="26" spans="1:34" s="5" customFormat="1" ht="12.5" x14ac:dyDescent="0.25">
      <c r="A26" s="16">
        <v>2017</v>
      </c>
      <c r="B26" s="16" t="s">
        <v>11</v>
      </c>
      <c r="C26" s="17">
        <v>1379214000</v>
      </c>
      <c r="D26" s="17">
        <v>1175899000</v>
      </c>
      <c r="E26" s="17">
        <v>203315000</v>
      </c>
      <c r="F26" s="17">
        <v>18857000</v>
      </c>
      <c r="G26" s="17">
        <v>-38026000</v>
      </c>
      <c r="H26" s="17">
        <v>1298141000</v>
      </c>
      <c r="I26" s="17">
        <v>179896</v>
      </c>
      <c r="J26" s="17">
        <v>152021</v>
      </c>
      <c r="K26" s="17">
        <v>821024</v>
      </c>
      <c r="L26" s="17">
        <v>767601</v>
      </c>
      <c r="M26" s="17">
        <v>38504</v>
      </c>
      <c r="N26" s="17">
        <v>-19169000</v>
      </c>
      <c r="O26" s="17">
        <v>27875</v>
      </c>
      <c r="P26" s="17">
        <v>53423</v>
      </c>
      <c r="Q26" s="17">
        <v>-25548</v>
      </c>
      <c r="R26" s="18">
        <v>-1.476650071140192E-2</v>
      </c>
      <c r="S26" s="19">
        <v>7.7033234448338049E-10</v>
      </c>
      <c r="T26" s="19">
        <v>-1.9680450736861404E-5</v>
      </c>
      <c r="U26" s="19">
        <v>2.9660876591988081E-5</v>
      </c>
      <c r="V26" s="18">
        <v>12.100134185116669</v>
      </c>
      <c r="W26" s="18">
        <v>0.18336282487287942</v>
      </c>
      <c r="X26" s="18">
        <v>0.85258632815502167</v>
      </c>
      <c r="Y26" s="18">
        <v>2.7917350026899379E-2</v>
      </c>
      <c r="Z26" s="20">
        <v>29</v>
      </c>
      <c r="AA26" s="25">
        <v>3.3672958299864741</v>
      </c>
      <c r="AB26" s="21">
        <v>0.95399999999999996</v>
      </c>
      <c r="AC26">
        <v>21.044779608634251</v>
      </c>
      <c r="AD26">
        <v>7</v>
      </c>
      <c r="AE26">
        <v>1.9459101490553132</v>
      </c>
      <c r="AF26">
        <v>1</v>
      </c>
      <c r="AG26">
        <v>1.2669061708075699E-2</v>
      </c>
      <c r="AH26">
        <v>8.6928867646312802E-2</v>
      </c>
    </row>
    <row r="27" spans="1:34" s="5" customFormat="1" ht="12.5" x14ac:dyDescent="0.25">
      <c r="A27" s="16">
        <v>2018</v>
      </c>
      <c r="B27" s="16" t="s">
        <v>11</v>
      </c>
      <c r="C27" s="17">
        <v>1719883000</v>
      </c>
      <c r="D27" s="17">
        <v>1525467000</v>
      </c>
      <c r="E27" s="17">
        <v>194416000</v>
      </c>
      <c r="F27" s="17">
        <v>22926000</v>
      </c>
      <c r="G27" s="17">
        <v>175265000</v>
      </c>
      <c r="H27" s="17">
        <v>1379214000</v>
      </c>
      <c r="I27" s="17">
        <v>189005</v>
      </c>
      <c r="J27" s="17">
        <v>180244</v>
      </c>
      <c r="K27" s="17">
        <v>961513</v>
      </c>
      <c r="L27" s="17">
        <v>821024</v>
      </c>
      <c r="M27" s="17">
        <v>36909</v>
      </c>
      <c r="N27" s="17">
        <v>-152339000</v>
      </c>
      <c r="O27" s="17">
        <v>8761</v>
      </c>
      <c r="P27" s="17">
        <v>140489</v>
      </c>
      <c r="Q27" s="17">
        <v>-131728</v>
      </c>
      <c r="R27" s="18">
        <v>-0.11045349017628882</v>
      </c>
      <c r="S27" s="19">
        <v>7.2505064478753842E-10</v>
      </c>
      <c r="T27" s="19">
        <v>-9.5509471336572863E-5</v>
      </c>
      <c r="U27" s="19">
        <v>2.6760894248463254E-5</v>
      </c>
      <c r="V27" s="18">
        <v>12.149528748718307</v>
      </c>
      <c r="W27" s="18">
        <v>4.8606333636625906E-2</v>
      </c>
      <c r="X27" s="18">
        <v>0.88695975249479175</v>
      </c>
      <c r="Y27" s="18">
        <v>2.1460180721595598E-2</v>
      </c>
      <c r="Z27" s="20">
        <v>30</v>
      </c>
      <c r="AA27" s="25">
        <v>3.4011973816621555</v>
      </c>
      <c r="AB27" s="21">
        <v>0.95399999999999996</v>
      </c>
      <c r="AC27">
        <v>21.265522102202269</v>
      </c>
      <c r="AD27">
        <v>8</v>
      </c>
      <c r="AE27">
        <v>2.0794415416798357</v>
      </c>
      <c r="AF27">
        <v>0</v>
      </c>
      <c r="AG27">
        <v>1.06987934991117E-2</v>
      </c>
      <c r="AH27">
        <v>8.7581303896909091E-3</v>
      </c>
    </row>
    <row r="28" spans="1:34" s="5" customFormat="1" ht="12.5" x14ac:dyDescent="0.25">
      <c r="A28" s="16">
        <v>2019</v>
      </c>
      <c r="B28" s="16" t="s">
        <v>11</v>
      </c>
      <c r="C28" s="17">
        <v>2114037000</v>
      </c>
      <c r="D28" s="17">
        <v>1880007000</v>
      </c>
      <c r="E28" s="17">
        <v>234030000</v>
      </c>
      <c r="F28" s="17">
        <v>28425000</v>
      </c>
      <c r="G28" s="17">
        <v>-26051000</v>
      </c>
      <c r="H28" s="17">
        <v>1719883000</v>
      </c>
      <c r="I28" s="17">
        <v>218011</v>
      </c>
      <c r="J28" s="17">
        <v>189005</v>
      </c>
      <c r="K28" s="17">
        <v>1276843</v>
      </c>
      <c r="L28" s="17">
        <v>961513</v>
      </c>
      <c r="M28" s="17">
        <v>38392</v>
      </c>
      <c r="N28" s="17">
        <v>2374000</v>
      </c>
      <c r="O28" s="17">
        <v>29006</v>
      </c>
      <c r="P28" s="17">
        <v>315330</v>
      </c>
      <c r="Q28" s="17">
        <v>-286324</v>
      </c>
      <c r="R28" s="18">
        <v>1.3803264524389158E-3</v>
      </c>
      <c r="S28" s="19">
        <v>5.8143489993214652E-10</v>
      </c>
      <c r="T28" s="19">
        <v>-1.6647876628817193E-4</v>
      </c>
      <c r="U28" s="19">
        <v>2.2322448678194971E-5</v>
      </c>
      <c r="V28" s="18">
        <v>12.292300799213825</v>
      </c>
      <c r="W28" s="18">
        <v>0.15346683950160048</v>
      </c>
      <c r="X28" s="18">
        <v>0.88929711258601429</v>
      </c>
      <c r="Y28" s="18">
        <v>1.816051469297841E-2</v>
      </c>
      <c r="Z28" s="20">
        <v>31</v>
      </c>
      <c r="AA28" s="25">
        <v>3.4339872044851463</v>
      </c>
      <c r="AB28" s="21">
        <v>0.95399999999999996</v>
      </c>
      <c r="AC28">
        <v>21.471865226606479</v>
      </c>
      <c r="AD28">
        <v>9</v>
      </c>
      <c r="AE28">
        <v>2.1972245773362196</v>
      </c>
      <c r="AF28">
        <v>0</v>
      </c>
      <c r="AG28">
        <v>-3.7763854747165002E-3</v>
      </c>
      <c r="AH28">
        <v>0.10307566786377</v>
      </c>
    </row>
    <row r="29" spans="1:34" s="5" customFormat="1" ht="12.5" x14ac:dyDescent="0.25">
      <c r="A29" s="16">
        <v>2020</v>
      </c>
      <c r="B29" s="16" t="s">
        <v>11</v>
      </c>
      <c r="C29" s="17">
        <v>2758148000</v>
      </c>
      <c r="D29" s="17">
        <v>2484615000</v>
      </c>
      <c r="E29" s="17">
        <v>273533000</v>
      </c>
      <c r="F29" s="17">
        <v>26650000</v>
      </c>
      <c r="G29" s="17">
        <v>242619000</v>
      </c>
      <c r="H29" s="17">
        <v>2114037000</v>
      </c>
      <c r="I29" s="17">
        <v>206204</v>
      </c>
      <c r="J29" s="17">
        <v>218011</v>
      </c>
      <c r="K29" s="17">
        <v>1326106</v>
      </c>
      <c r="L29" s="17">
        <v>1276843</v>
      </c>
      <c r="M29" s="17">
        <v>38446</v>
      </c>
      <c r="N29" s="17">
        <v>-215969000</v>
      </c>
      <c r="O29" s="17">
        <v>-11807</v>
      </c>
      <c r="P29" s="17">
        <v>49263</v>
      </c>
      <c r="Q29" s="17">
        <v>-61070</v>
      </c>
      <c r="R29" s="18">
        <v>-0.10215951754865217</v>
      </c>
      <c r="S29" s="19">
        <v>4.7302861775834573E-10</v>
      </c>
      <c r="T29" s="19">
        <v>-2.8887857686502176E-5</v>
      </c>
      <c r="U29" s="19">
        <v>1.8186058238337362E-5</v>
      </c>
      <c r="V29" s="18">
        <v>12.23662124901894</v>
      </c>
      <c r="W29" s="18">
        <v>-5.4157817724793701E-2</v>
      </c>
      <c r="X29" s="18">
        <v>0.90082729425687091</v>
      </c>
      <c r="Y29" s="18">
        <v>1.3939063458523618E-2</v>
      </c>
      <c r="Z29" s="20">
        <v>32</v>
      </c>
      <c r="AA29" s="25">
        <v>3.4657359027997265</v>
      </c>
      <c r="AB29" s="21">
        <v>0.95399999999999996</v>
      </c>
      <c r="AC29">
        <v>21.737825276951732</v>
      </c>
      <c r="AD29">
        <v>10</v>
      </c>
      <c r="AE29">
        <v>2.3025850929940459</v>
      </c>
      <c r="AF29">
        <v>0</v>
      </c>
      <c r="AG29">
        <v>-2.0817342722819201E-3</v>
      </c>
      <c r="AH29">
        <v>4.6414908909073199E-4</v>
      </c>
    </row>
    <row r="30" spans="1:34" s="5" customFormat="1" ht="12.5" x14ac:dyDescent="0.25">
      <c r="A30" s="16">
        <v>2021</v>
      </c>
      <c r="B30" s="16" t="s">
        <v>11</v>
      </c>
      <c r="C30" s="17">
        <v>3289479000</v>
      </c>
      <c r="D30" s="17">
        <v>2991710000</v>
      </c>
      <c r="E30" s="17">
        <v>297769000</v>
      </c>
      <c r="F30" s="17">
        <v>35579000</v>
      </c>
      <c r="G30" s="17">
        <v>-117000</v>
      </c>
      <c r="H30" s="17">
        <v>2758148000</v>
      </c>
      <c r="I30" s="17">
        <v>203566</v>
      </c>
      <c r="J30" s="17">
        <v>206204</v>
      </c>
      <c r="K30" s="17">
        <v>1658412</v>
      </c>
      <c r="L30" s="17">
        <v>1326106</v>
      </c>
      <c r="M30" s="17">
        <v>39440</v>
      </c>
      <c r="N30" s="17">
        <v>35462000</v>
      </c>
      <c r="O30" s="17">
        <v>-2638</v>
      </c>
      <c r="P30" s="17">
        <v>332306</v>
      </c>
      <c r="Q30" s="17">
        <v>-334944</v>
      </c>
      <c r="R30" s="18">
        <v>1.2857178077463574E-2</v>
      </c>
      <c r="S30" s="19">
        <v>3.6256212502012219E-10</v>
      </c>
      <c r="T30" s="19">
        <v>-1.2143800840273981E-4</v>
      </c>
      <c r="U30" s="19">
        <v>1.429945021079362E-5</v>
      </c>
      <c r="V30" s="18">
        <v>12.223745555607346</v>
      </c>
      <c r="W30" s="18">
        <v>-1.279315629182751E-2</v>
      </c>
      <c r="X30" s="18">
        <v>0.90947837028295364</v>
      </c>
      <c r="Y30" s="18">
        <v>1.1989740624579151E-2</v>
      </c>
      <c r="Z30" s="20">
        <v>33</v>
      </c>
      <c r="AA30" s="25">
        <v>3.4965075614664802</v>
      </c>
      <c r="AB30" s="21">
        <v>1.3608</v>
      </c>
      <c r="AC30">
        <v>21.913995030521018</v>
      </c>
      <c r="AD30">
        <v>1</v>
      </c>
      <c r="AE30">
        <v>0</v>
      </c>
      <c r="AF30">
        <v>0</v>
      </c>
      <c r="AG30">
        <v>-1.4629294387296301E-3</v>
      </c>
      <c r="AH30">
        <v>0.114552532750602</v>
      </c>
    </row>
    <row r="31" spans="1:34" s="5" customFormat="1" ht="12.5" x14ac:dyDescent="0.25">
      <c r="A31" s="16">
        <v>2022</v>
      </c>
      <c r="B31" s="16" t="s">
        <v>11</v>
      </c>
      <c r="C31" s="17">
        <v>3989009000</v>
      </c>
      <c r="D31" s="17">
        <v>3674649000</v>
      </c>
      <c r="E31" s="17">
        <v>314360000</v>
      </c>
      <c r="F31" s="17">
        <v>46724000</v>
      </c>
      <c r="G31" s="17">
        <v>297592000</v>
      </c>
      <c r="H31" s="17">
        <v>3289479000</v>
      </c>
      <c r="I31" s="17">
        <v>295578</v>
      </c>
      <c r="J31" s="17">
        <v>203566</v>
      </c>
      <c r="K31" s="17">
        <v>2116212</v>
      </c>
      <c r="L31" s="17">
        <v>1658412</v>
      </c>
      <c r="M31" s="17">
        <v>42657</v>
      </c>
      <c r="N31" s="17">
        <v>-250868000</v>
      </c>
      <c r="O31" s="17">
        <v>92012</v>
      </c>
      <c r="P31" s="17">
        <v>457800</v>
      </c>
      <c r="Q31" s="17">
        <v>-365788</v>
      </c>
      <c r="R31" s="18">
        <v>-7.626374875778201E-2</v>
      </c>
      <c r="S31" s="19">
        <v>3.039995087367939E-10</v>
      </c>
      <c r="T31" s="19">
        <v>-1.1119937230181435E-4</v>
      </c>
      <c r="U31" s="19">
        <v>1.2967707044185416E-5</v>
      </c>
      <c r="V31" s="18">
        <v>12.596688040388003</v>
      </c>
      <c r="W31" s="18">
        <v>0.4520008252851655</v>
      </c>
      <c r="X31" s="18">
        <v>0.92119345932786811</v>
      </c>
      <c r="Y31" s="18">
        <v>1.816051469297841E-2</v>
      </c>
      <c r="Z31" s="20">
        <v>34</v>
      </c>
      <c r="AA31" s="25">
        <v>3.5263605246161616</v>
      </c>
      <c r="AB31" s="21">
        <v>1.3608</v>
      </c>
      <c r="AC31">
        <v>22.1068086660717</v>
      </c>
      <c r="AD31">
        <v>2</v>
      </c>
      <c r="AE31">
        <v>0.69314718055994529</v>
      </c>
      <c r="AF31">
        <v>0</v>
      </c>
      <c r="AG31">
        <v>-1.12558393768998E-2</v>
      </c>
      <c r="AH31">
        <v>2.5431608333558599E-2</v>
      </c>
    </row>
    <row r="32" spans="1:34" s="5" customFormat="1" ht="12.5" x14ac:dyDescent="0.25">
      <c r="A32" s="16">
        <v>2013</v>
      </c>
      <c r="B32" s="16" t="s">
        <v>9</v>
      </c>
      <c r="C32" s="17">
        <v>1904365795</v>
      </c>
      <c r="D32" s="17">
        <v>1574719114</v>
      </c>
      <c r="E32" s="17">
        <v>329646681</v>
      </c>
      <c r="F32" s="17">
        <v>85545510</v>
      </c>
      <c r="G32" s="17">
        <v>306604430</v>
      </c>
      <c r="H32" s="17">
        <v>1620317223</v>
      </c>
      <c r="I32" s="17">
        <v>242665011</v>
      </c>
      <c r="J32" s="17">
        <v>223064885</v>
      </c>
      <c r="K32" s="17">
        <v>1007967114</v>
      </c>
      <c r="L32" s="17">
        <v>783914842</v>
      </c>
      <c r="M32" s="17">
        <v>68306197</v>
      </c>
      <c r="N32" s="17">
        <v>-221058920</v>
      </c>
      <c r="O32" s="17">
        <v>19600126</v>
      </c>
      <c r="P32" s="17">
        <v>224052272</v>
      </c>
      <c r="Q32" s="17">
        <v>-204452146</v>
      </c>
      <c r="R32" s="18">
        <v>-0.13642940830482056</v>
      </c>
      <c r="S32" s="19">
        <v>6.1716309979629222E-10</v>
      </c>
      <c r="T32" s="19">
        <v>-0.1261803201853641</v>
      </c>
      <c r="U32" s="19">
        <v>4.2156064275816196E-2</v>
      </c>
      <c r="V32" s="18">
        <v>19.307192494667376</v>
      </c>
      <c r="W32" s="18">
        <v>8.7867375449972779E-2</v>
      </c>
      <c r="X32" s="18">
        <v>0.82689949490507419</v>
      </c>
      <c r="Y32" s="18">
        <v>3.248273222084077E-2</v>
      </c>
      <c r="Z32" s="20">
        <v>23</v>
      </c>
      <c r="AA32" s="25">
        <v>3.1354942159291497</v>
      </c>
      <c r="AB32" s="21">
        <v>3.5424000000000002</v>
      </c>
      <c r="AC32">
        <v>21.46655769961632</v>
      </c>
      <c r="AD32">
        <v>3</v>
      </c>
      <c r="AE32">
        <v>1.0986122886681098</v>
      </c>
      <c r="AF32">
        <v>0</v>
      </c>
      <c r="AG32">
        <v>3.1960174355516102E-3</v>
      </c>
      <c r="AH32">
        <v>0.13282649291388601</v>
      </c>
    </row>
    <row r="33" spans="1:34" s="5" customFormat="1" ht="12.5" x14ac:dyDescent="0.25">
      <c r="A33" s="16">
        <v>2014</v>
      </c>
      <c r="B33" s="16" t="s">
        <v>9</v>
      </c>
      <c r="C33" s="17">
        <v>2126608312</v>
      </c>
      <c r="D33" s="17">
        <v>1757077986</v>
      </c>
      <c r="E33" s="17">
        <v>369530326</v>
      </c>
      <c r="F33" s="17">
        <v>93431604</v>
      </c>
      <c r="G33" s="17">
        <v>-91880008</v>
      </c>
      <c r="H33" s="17">
        <v>1904365795</v>
      </c>
      <c r="I33" s="17">
        <v>278520814</v>
      </c>
      <c r="J33" s="17">
        <v>242665011</v>
      </c>
      <c r="K33" s="17">
        <v>1281376727</v>
      </c>
      <c r="L33" s="17">
        <v>1007967114</v>
      </c>
      <c r="M33" s="17">
        <v>76236447</v>
      </c>
      <c r="N33" s="17">
        <v>1551596</v>
      </c>
      <c r="O33" s="17">
        <v>35855803</v>
      </c>
      <c r="P33" s="17">
        <v>273409613</v>
      </c>
      <c r="Q33" s="17">
        <v>-237553810</v>
      </c>
      <c r="R33" s="18">
        <v>8.1475733500033795E-4</v>
      </c>
      <c r="S33" s="19">
        <v>5.251092004621938E-10</v>
      </c>
      <c r="T33" s="19">
        <v>-0.12474169123584788</v>
      </c>
      <c r="U33" s="19">
        <v>4.003245973024841E-2</v>
      </c>
      <c r="V33" s="18">
        <v>19.445003350625186</v>
      </c>
      <c r="W33" s="18">
        <v>0.14775843807165095</v>
      </c>
      <c r="X33" s="18">
        <v>0.8262348905932424</v>
      </c>
      <c r="Y33" s="18">
        <v>3.2360119963265002E-2</v>
      </c>
      <c r="Z33" s="20">
        <v>24</v>
      </c>
      <c r="AA33" s="25">
        <v>3.1780538303479458</v>
      </c>
      <c r="AB33" s="21">
        <v>3.5424000000000002</v>
      </c>
      <c r="AC33">
        <v>21.580178693043202</v>
      </c>
      <c r="AD33">
        <v>4</v>
      </c>
      <c r="AE33">
        <v>1.3862943611198906</v>
      </c>
      <c r="AF33">
        <v>0</v>
      </c>
      <c r="AG33">
        <v>-1.24642947478145E-2</v>
      </c>
      <c r="AH33">
        <v>4.9531923188091296E-3</v>
      </c>
    </row>
    <row r="34" spans="1:34" s="5" customFormat="1" ht="12.5" x14ac:dyDescent="0.25">
      <c r="A34" s="16">
        <v>2015</v>
      </c>
      <c r="B34" s="16" t="s">
        <v>9</v>
      </c>
      <c r="C34" s="17">
        <v>2277629224</v>
      </c>
      <c r="D34" s="17">
        <v>1872020876</v>
      </c>
      <c r="E34" s="17">
        <v>405608348</v>
      </c>
      <c r="F34" s="17">
        <v>94308123</v>
      </c>
      <c r="G34" s="17">
        <v>10429148</v>
      </c>
      <c r="H34" s="17">
        <v>2126608312</v>
      </c>
      <c r="I34" s="17">
        <v>301850111</v>
      </c>
      <c r="J34" s="17">
        <v>278520814</v>
      </c>
      <c r="K34" s="17">
        <v>1372977068</v>
      </c>
      <c r="L34" s="17">
        <v>1281376727</v>
      </c>
      <c r="M34" s="17">
        <v>87988778</v>
      </c>
      <c r="N34" s="17">
        <v>83878975</v>
      </c>
      <c r="O34" s="17">
        <v>23329297</v>
      </c>
      <c r="P34" s="17">
        <v>91600341</v>
      </c>
      <c r="Q34" s="17">
        <v>-68271044</v>
      </c>
      <c r="R34" s="18">
        <v>3.9442606580012279E-2</v>
      </c>
      <c r="S34" s="19">
        <v>4.7023233867619723E-10</v>
      </c>
      <c r="T34" s="19">
        <v>-3.2103252683985561E-2</v>
      </c>
      <c r="U34" s="19">
        <v>4.1375168856200725E-2</v>
      </c>
      <c r="V34" s="18">
        <v>19.525441130938958</v>
      </c>
      <c r="W34" s="18">
        <v>8.3761413249352351E-2</v>
      </c>
      <c r="X34" s="18">
        <v>0.8219164279567569</v>
      </c>
      <c r="Y34" s="18">
        <v>3.4852648838633385E-2</v>
      </c>
      <c r="Z34" s="20">
        <v>25</v>
      </c>
      <c r="AA34" s="25">
        <v>3.2188758248682006</v>
      </c>
      <c r="AB34" s="21">
        <v>3.5424000000000002</v>
      </c>
      <c r="AC34">
        <v>21.649345979400032</v>
      </c>
      <c r="AD34">
        <v>5</v>
      </c>
      <c r="AE34">
        <v>1.6094379124341003</v>
      </c>
      <c r="AF34">
        <v>1</v>
      </c>
      <c r="AG34">
        <v>-5.1460004575093303E-3</v>
      </c>
      <c r="AH34">
        <v>5.8001605497483698E-2</v>
      </c>
    </row>
    <row r="35" spans="1:34" s="5" customFormat="1" ht="12.5" x14ac:dyDescent="0.25">
      <c r="A35" s="16">
        <v>2016</v>
      </c>
      <c r="B35" s="16" t="s">
        <v>9</v>
      </c>
      <c r="C35" s="17">
        <v>2613340074</v>
      </c>
      <c r="D35" s="17">
        <v>2136422221</v>
      </c>
      <c r="E35" s="17">
        <v>476917853</v>
      </c>
      <c r="F35" s="17">
        <v>126836792</v>
      </c>
      <c r="G35" s="17">
        <v>268884139</v>
      </c>
      <c r="H35" s="17">
        <v>2277629224</v>
      </c>
      <c r="I35" s="17">
        <v>196152958</v>
      </c>
      <c r="J35" s="17">
        <v>301850111</v>
      </c>
      <c r="K35" s="17">
        <v>1590083552</v>
      </c>
      <c r="L35" s="17">
        <v>1372977068</v>
      </c>
      <c r="M35" s="17">
        <v>93488055</v>
      </c>
      <c r="N35" s="17">
        <v>-142047347</v>
      </c>
      <c r="O35" s="17">
        <v>30911096</v>
      </c>
      <c r="P35" s="17">
        <v>217106484</v>
      </c>
      <c r="Q35" s="17">
        <v>-186195388</v>
      </c>
      <c r="R35" s="18">
        <v>-6.2366317354558144E-2</v>
      </c>
      <c r="S35" s="19">
        <v>4.3905302472532727E-10</v>
      </c>
      <c r="T35" s="19">
        <v>-8.1749648291305904E-2</v>
      </c>
      <c r="U35" s="19">
        <v>4.1046213323437754E-2</v>
      </c>
      <c r="V35" s="18">
        <v>19.094405310801822</v>
      </c>
      <c r="W35" s="18">
        <v>0.18706576908459188</v>
      </c>
      <c r="X35" s="18">
        <v>0.81750639430939975</v>
      </c>
      <c r="Y35" s="18">
        <v>2.9998797273170615E-2</v>
      </c>
      <c r="Z35" s="20">
        <v>26</v>
      </c>
      <c r="AA35" s="25">
        <v>3.2580965380214821</v>
      </c>
      <c r="AB35" s="21">
        <v>3.5424000000000002</v>
      </c>
      <c r="AC35">
        <v>21.859942221104941</v>
      </c>
      <c r="AD35">
        <v>6</v>
      </c>
      <c r="AE35">
        <v>1.791759469228055</v>
      </c>
      <c r="AF35">
        <v>1</v>
      </c>
      <c r="AG35">
        <v>2.2181183655635799E-2</v>
      </c>
      <c r="AH35">
        <v>4.9432591630261202E-2</v>
      </c>
    </row>
    <row r="36" spans="1:34" s="5" customFormat="1" ht="12.5" x14ac:dyDescent="0.25">
      <c r="A36" s="16">
        <v>2017</v>
      </c>
      <c r="B36" s="16" t="s">
        <v>9</v>
      </c>
      <c r="C36" s="17">
        <v>2824928985</v>
      </c>
      <c r="D36" s="17">
        <v>2240584624</v>
      </c>
      <c r="E36" s="17">
        <v>584344361</v>
      </c>
      <c r="F36" s="17">
        <v>161284680</v>
      </c>
      <c r="G36" s="17">
        <v>353397327</v>
      </c>
      <c r="H36" s="17">
        <v>2613340074</v>
      </c>
      <c r="I36" s="17">
        <v>419226271</v>
      </c>
      <c r="J36" s="17">
        <v>196152958</v>
      </c>
      <c r="K36" s="17">
        <v>1449283791</v>
      </c>
      <c r="L36" s="17">
        <v>1590083552</v>
      </c>
      <c r="M36" s="17">
        <v>98669998</v>
      </c>
      <c r="N36" s="17">
        <v>-192112647</v>
      </c>
      <c r="O36" s="17">
        <v>419226271</v>
      </c>
      <c r="P36" s="17">
        <v>-140799761</v>
      </c>
      <c r="Q36" s="17">
        <v>278426510</v>
      </c>
      <c r="R36" s="18">
        <v>-7.3512302861506576E-2</v>
      </c>
      <c r="S36" s="19">
        <v>3.8265207423593813E-10</v>
      </c>
      <c r="T36" s="19">
        <v>0.10654048157377316</v>
      </c>
      <c r="U36" s="19">
        <v>3.7756279399555864E-2</v>
      </c>
      <c r="V36" s="18">
        <v>19.853921358377693</v>
      </c>
      <c r="W36" s="18">
        <v>2.1372416468988451</v>
      </c>
      <c r="X36" s="18">
        <v>0.79314723870837411</v>
      </c>
      <c r="Y36" s="18">
        <v>2.9444091901975781E-2</v>
      </c>
      <c r="Z36" s="20">
        <v>27</v>
      </c>
      <c r="AA36" s="25">
        <v>3.2958368660043291</v>
      </c>
      <c r="AB36" s="21">
        <v>3.5424000000000002</v>
      </c>
      <c r="AC36">
        <v>21.93255349010802</v>
      </c>
      <c r="AD36">
        <v>7</v>
      </c>
      <c r="AE36">
        <v>1.9459101490553132</v>
      </c>
      <c r="AF36">
        <v>1</v>
      </c>
      <c r="AG36">
        <v>-0.99977643654131398</v>
      </c>
      <c r="AH36">
        <v>6.4987191361333005E-2</v>
      </c>
    </row>
    <row r="37" spans="1:34" s="5" customFormat="1" ht="12.5" x14ac:dyDescent="0.25">
      <c r="A37" s="16">
        <v>2018</v>
      </c>
      <c r="B37" s="16" t="s">
        <v>9</v>
      </c>
      <c r="C37" s="17">
        <v>2712521494</v>
      </c>
      <c r="D37" s="17">
        <v>2200679235</v>
      </c>
      <c r="E37" s="17">
        <v>511842259</v>
      </c>
      <c r="F37" s="17">
        <v>166919765</v>
      </c>
      <c r="G37" s="17">
        <v>224625664</v>
      </c>
      <c r="H37" s="17">
        <v>2824928985</v>
      </c>
      <c r="I37" s="17">
        <v>434653969</v>
      </c>
      <c r="J37" s="17">
        <v>419226271</v>
      </c>
      <c r="K37" s="17">
        <v>1262005001</v>
      </c>
      <c r="L37" s="17">
        <v>1449283791</v>
      </c>
      <c r="M37" s="17">
        <v>111825917</v>
      </c>
      <c r="N37" s="17">
        <v>-57705899</v>
      </c>
      <c r="O37" s="17">
        <v>15427698</v>
      </c>
      <c r="P37" s="17">
        <v>-187278790</v>
      </c>
      <c r="Q37" s="17">
        <v>-171851092</v>
      </c>
      <c r="R37" s="18">
        <v>-2.0427380407228184E-2</v>
      </c>
      <c r="S37" s="19">
        <v>3.5399119953452562E-10</v>
      </c>
      <c r="T37" s="19">
        <v>-6.0833774198398124E-2</v>
      </c>
      <c r="U37" s="19">
        <v>3.9585390497878306E-2</v>
      </c>
      <c r="V37" s="18">
        <v>19.890060798932758</v>
      </c>
      <c r="W37" s="18">
        <v>3.6800408436235617E-2</v>
      </c>
      <c r="X37" s="18">
        <v>0.81130388823381616</v>
      </c>
      <c r="Y37" s="18">
        <v>3.401711631921122E-2</v>
      </c>
      <c r="Z37" s="20">
        <v>28</v>
      </c>
      <c r="AA37" s="25">
        <v>3.3322045101752038</v>
      </c>
      <c r="AB37" s="21">
        <v>3.5424000000000002</v>
      </c>
      <c r="AC37">
        <v>21.913345367449171</v>
      </c>
      <c r="AD37">
        <v>8</v>
      </c>
      <c r="AE37">
        <v>2.0794415416798357</v>
      </c>
      <c r="AF37">
        <v>1</v>
      </c>
      <c r="AG37">
        <v>-6.6337319689567199E-3</v>
      </c>
      <c r="AH37">
        <v>4.3936092830770199E-3</v>
      </c>
    </row>
    <row r="38" spans="1:34" s="5" customFormat="1" ht="12.5" x14ac:dyDescent="0.25">
      <c r="A38" s="16">
        <v>2019</v>
      </c>
      <c r="B38" s="16" t="s">
        <v>9</v>
      </c>
      <c r="C38" s="17">
        <v>3097248495</v>
      </c>
      <c r="D38" s="17">
        <v>2491358899</v>
      </c>
      <c r="E38" s="17">
        <v>605889596</v>
      </c>
      <c r="F38" s="17">
        <v>175125281</v>
      </c>
      <c r="G38" s="17">
        <v>197853667</v>
      </c>
      <c r="H38" s="17">
        <v>2712521494</v>
      </c>
      <c r="I38" s="17">
        <v>435306541</v>
      </c>
      <c r="J38" s="17">
        <v>434653969</v>
      </c>
      <c r="K38" s="17">
        <v>1502085356</v>
      </c>
      <c r="L38" s="17">
        <v>1262005001</v>
      </c>
      <c r="M38" s="17">
        <v>141774863</v>
      </c>
      <c r="N38" s="17">
        <v>-22728386</v>
      </c>
      <c r="O38" s="17">
        <v>652572</v>
      </c>
      <c r="P38" s="17">
        <v>240080355</v>
      </c>
      <c r="Q38" s="17">
        <v>-239427783</v>
      </c>
      <c r="R38" s="18">
        <v>-8.3790620831113681E-3</v>
      </c>
      <c r="S38" s="19">
        <v>3.68660673182485E-10</v>
      </c>
      <c r="T38" s="19">
        <v>-8.8267607659369945E-2</v>
      </c>
      <c r="U38" s="19">
        <v>5.226681643393459E-2</v>
      </c>
      <c r="V38" s="18">
        <v>19.891561032828193</v>
      </c>
      <c r="W38" s="18">
        <v>1.501359809278539E-3</v>
      </c>
      <c r="X38" s="18">
        <v>0.80437811270935822</v>
      </c>
      <c r="Y38" s="18">
        <v>3.7716926508630032E-2</v>
      </c>
      <c r="Z38" s="20">
        <v>29</v>
      </c>
      <c r="AA38" s="25">
        <v>3.3672958299864741</v>
      </c>
      <c r="AB38" s="21">
        <v>3.5424000000000002</v>
      </c>
      <c r="AC38">
        <v>22.047397191824359</v>
      </c>
      <c r="AD38">
        <v>9</v>
      </c>
      <c r="AE38">
        <v>2.1972245773362196</v>
      </c>
      <c r="AF38">
        <v>1</v>
      </c>
      <c r="AG38">
        <v>-1.0192807768824801E-2</v>
      </c>
      <c r="AH38">
        <v>2.39946960308392E-3</v>
      </c>
    </row>
    <row r="39" spans="1:34" s="5" customFormat="1" ht="12.5" x14ac:dyDescent="0.25">
      <c r="A39" s="16">
        <v>2020</v>
      </c>
      <c r="B39" s="16" t="s">
        <v>9</v>
      </c>
      <c r="C39" s="17">
        <v>4061543605</v>
      </c>
      <c r="D39" s="17">
        <v>3359144080</v>
      </c>
      <c r="E39" s="17">
        <v>702399525</v>
      </c>
      <c r="F39" s="17">
        <v>178188398</v>
      </c>
      <c r="G39" s="17">
        <v>327793445</v>
      </c>
      <c r="H39" s="17">
        <v>3097248495</v>
      </c>
      <c r="I39" s="17">
        <v>455229759</v>
      </c>
      <c r="J39" s="17">
        <v>435306541</v>
      </c>
      <c r="K39" s="17">
        <v>1662830742</v>
      </c>
      <c r="L39" s="17">
        <v>1502085356</v>
      </c>
      <c r="M39" s="17">
        <v>148782835</v>
      </c>
      <c r="N39" s="17">
        <v>-149605047</v>
      </c>
      <c r="O39" s="17">
        <v>19923218</v>
      </c>
      <c r="P39" s="17">
        <v>160745386</v>
      </c>
      <c r="Q39" s="17">
        <v>-140822168</v>
      </c>
      <c r="R39" s="18">
        <v>-4.8302565080429558E-2</v>
      </c>
      <c r="S39" s="19">
        <v>3.2286721637425481E-10</v>
      </c>
      <c r="T39" s="19">
        <v>-4.546686138594766E-2</v>
      </c>
      <c r="U39" s="19">
        <v>4.8037099780720051E-2</v>
      </c>
      <c r="V39" s="18">
        <v>19.93631281429855</v>
      </c>
      <c r="W39" s="18">
        <v>4.5768248632863988E-2</v>
      </c>
      <c r="X39" s="18">
        <v>0.82706094201837332</v>
      </c>
      <c r="Y39" s="18">
        <v>3.0089639492141437E-2</v>
      </c>
      <c r="Z39" s="20">
        <v>30</v>
      </c>
      <c r="AA39" s="25">
        <v>3.4011973816621555</v>
      </c>
      <c r="AB39" s="21">
        <v>3.5424000000000002</v>
      </c>
      <c r="AC39">
        <v>22.32157268692405</v>
      </c>
      <c r="AD39">
        <v>10</v>
      </c>
      <c r="AE39">
        <v>2.3025850929940459</v>
      </c>
      <c r="AF39">
        <v>1</v>
      </c>
      <c r="AG39">
        <v>-6.6730573277047397E-3</v>
      </c>
      <c r="AH39">
        <v>3.1375841171818998E-2</v>
      </c>
    </row>
    <row r="40" spans="1:34" s="5" customFormat="1" ht="12.5" x14ac:dyDescent="0.25">
      <c r="A40" s="16">
        <v>2021</v>
      </c>
      <c r="B40" s="16" t="s">
        <v>9</v>
      </c>
      <c r="C40" s="17">
        <v>143716044</v>
      </c>
      <c r="D40" s="17">
        <v>6076055</v>
      </c>
      <c r="E40" s="17">
        <v>137639949</v>
      </c>
      <c r="F40" s="17">
        <v>8282599</v>
      </c>
      <c r="G40" s="17">
        <v>4157726</v>
      </c>
      <c r="H40" s="17">
        <v>4061543605</v>
      </c>
      <c r="I40" s="17">
        <v>447729585</v>
      </c>
      <c r="J40" s="17">
        <v>455229759</v>
      </c>
      <c r="K40" s="17">
        <v>1802702395</v>
      </c>
      <c r="L40" s="17">
        <v>1662830742</v>
      </c>
      <c r="M40" s="17">
        <v>203971924</v>
      </c>
      <c r="N40" s="17">
        <v>4124873</v>
      </c>
      <c r="O40" s="17">
        <v>-7500174</v>
      </c>
      <c r="P40" s="17">
        <v>139871653</v>
      </c>
      <c r="Q40" s="17">
        <v>-147371827</v>
      </c>
      <c r="R40" s="18">
        <v>1.0155924449320296E-3</v>
      </c>
      <c r="S40" s="19">
        <v>2.4621180941377583E-10</v>
      </c>
      <c r="T40" s="19">
        <v>-3.6284684182283942E-2</v>
      </c>
      <c r="U40" s="19">
        <v>5.0220296477649168E-2</v>
      </c>
      <c r="V40" s="18">
        <v>19.919700003225763</v>
      </c>
      <c r="W40" s="18">
        <v>-1.6475579312906913E-2</v>
      </c>
      <c r="X40" s="18">
        <v>4.2278195467167184E-2</v>
      </c>
      <c r="Y40" s="18">
        <v>3.75221874238423E-2</v>
      </c>
      <c r="Z40" s="20">
        <v>31</v>
      </c>
      <c r="AA40" s="25">
        <v>3.4339872044851463</v>
      </c>
      <c r="AB40" s="21">
        <v>3.5424000000000002</v>
      </c>
      <c r="AC40">
        <v>22.416315771220471</v>
      </c>
      <c r="AD40">
        <v>1</v>
      </c>
      <c r="AE40">
        <v>0</v>
      </c>
      <c r="AF40">
        <v>0</v>
      </c>
      <c r="AG40">
        <v>-1.6638385745994199E-2</v>
      </c>
      <c r="AH40">
        <v>1.8478458308663299E-2</v>
      </c>
    </row>
    <row r="41" spans="1:34" s="5" customFormat="1" ht="12.5" x14ac:dyDescent="0.25">
      <c r="A41" s="16">
        <v>2022</v>
      </c>
      <c r="B41" s="16" t="s">
        <v>9</v>
      </c>
      <c r="C41" s="17">
        <v>163995022</v>
      </c>
      <c r="D41" s="17">
        <v>26043503</v>
      </c>
      <c r="E41" s="17">
        <v>137951519</v>
      </c>
      <c r="F41" s="17">
        <v>88605108</v>
      </c>
      <c r="G41" s="17">
        <v>21669857</v>
      </c>
      <c r="H41" s="17">
        <v>143716044</v>
      </c>
      <c r="I41" s="17">
        <v>538784897</v>
      </c>
      <c r="J41" s="17">
        <v>447729585</v>
      </c>
      <c r="K41" s="17">
        <v>1885853404</v>
      </c>
      <c r="L41" s="17">
        <v>1802702395</v>
      </c>
      <c r="M41" s="17">
        <v>197860484</v>
      </c>
      <c r="N41" s="17">
        <v>66935251</v>
      </c>
      <c r="O41" s="17">
        <v>91055312</v>
      </c>
      <c r="P41" s="17">
        <v>83151009</v>
      </c>
      <c r="Q41" s="17">
        <v>7904303</v>
      </c>
      <c r="R41" s="18">
        <v>0.46574654531960258</v>
      </c>
      <c r="S41" s="19">
        <v>6.9581653667004638E-9</v>
      </c>
      <c r="T41" s="19">
        <v>5.4999447382506575E-2</v>
      </c>
      <c r="U41" s="19">
        <v>1.3767459672073912</v>
      </c>
      <c r="V41" s="18">
        <v>20.104826971298408</v>
      </c>
      <c r="W41" s="18">
        <v>0.20337122015289652</v>
      </c>
      <c r="X41" s="18">
        <v>0.15880666792434711</v>
      </c>
      <c r="Y41" s="18">
        <v>3.401711631921122E-2</v>
      </c>
      <c r="Z41" s="20">
        <v>32</v>
      </c>
      <c r="AA41" s="25">
        <v>3.4657359027997265</v>
      </c>
      <c r="AB41" s="21">
        <v>3.5424000000000002</v>
      </c>
      <c r="AC41">
        <v>22.586796425930931</v>
      </c>
      <c r="AD41">
        <v>2</v>
      </c>
      <c r="AE41">
        <v>0.69314718055994529</v>
      </c>
      <c r="AF41">
        <v>0</v>
      </c>
      <c r="AG41">
        <v>-1.6656878370782901E-2</v>
      </c>
      <c r="AH41">
        <v>1.4114063297663499</v>
      </c>
    </row>
    <row r="42" spans="1:34" s="5" customFormat="1" ht="12.5" x14ac:dyDescent="0.25">
      <c r="A42" s="16">
        <v>2013</v>
      </c>
      <c r="B42" s="16" t="s">
        <v>15</v>
      </c>
      <c r="C42" s="17">
        <v>761451</v>
      </c>
      <c r="D42" s="17">
        <v>660242</v>
      </c>
      <c r="E42" s="17">
        <v>97634</v>
      </c>
      <c r="F42" s="17">
        <v>20773</v>
      </c>
      <c r="G42" s="17">
        <v>91682</v>
      </c>
      <c r="H42" s="17">
        <v>676819</v>
      </c>
      <c r="I42" s="17">
        <v>111226</v>
      </c>
      <c r="J42" s="17">
        <v>91860</v>
      </c>
      <c r="K42" s="17">
        <v>383927</v>
      </c>
      <c r="L42" s="17">
        <v>290915</v>
      </c>
      <c r="M42" s="17">
        <v>24988</v>
      </c>
      <c r="N42" s="17">
        <v>-70909</v>
      </c>
      <c r="O42" s="17">
        <v>19366</v>
      </c>
      <c r="P42" s="17">
        <v>93012</v>
      </c>
      <c r="Q42" s="17">
        <v>-73646</v>
      </c>
      <c r="R42" s="18">
        <v>-0.1047680399043171</v>
      </c>
      <c r="S42" s="19">
        <v>1.4774998928812578E-6</v>
      </c>
      <c r="T42" s="19">
        <v>-0.1088119571111331</v>
      </c>
      <c r="U42" s="19">
        <v>3.6919767323316872E-2</v>
      </c>
      <c r="V42" s="18">
        <v>11.619319446418272</v>
      </c>
      <c r="W42" s="18">
        <v>0.21082081428260396</v>
      </c>
      <c r="X42" s="18">
        <v>0.86708402773126569</v>
      </c>
      <c r="Y42" s="18">
        <v>3.6136692380089805E-2</v>
      </c>
      <c r="Z42" s="20">
        <v>6</v>
      </c>
      <c r="AA42" s="25">
        <v>1.791759469228055</v>
      </c>
      <c r="AB42" s="21">
        <v>0.66959999999999997</v>
      </c>
      <c r="AC42">
        <v>20.452828875766979</v>
      </c>
      <c r="AD42">
        <v>3</v>
      </c>
      <c r="AE42">
        <v>1.0986122886681098</v>
      </c>
      <c r="AF42">
        <v>0</v>
      </c>
      <c r="AG42">
        <v>-8.0541663443667397E-3</v>
      </c>
      <c r="AH42">
        <v>1.79609813319348E-2</v>
      </c>
    </row>
    <row r="43" spans="1:34" s="5" customFormat="1" ht="12.5" x14ac:dyDescent="0.25">
      <c r="A43" s="16">
        <v>2014</v>
      </c>
      <c r="B43" s="16" t="s">
        <v>15</v>
      </c>
      <c r="C43" s="17">
        <v>941919</v>
      </c>
      <c r="D43" s="17">
        <v>821675</v>
      </c>
      <c r="E43" s="17">
        <v>120244</v>
      </c>
      <c r="F43" s="17">
        <v>34459</v>
      </c>
      <c r="G43" s="17">
        <v>28383</v>
      </c>
      <c r="H43" s="17">
        <v>761451</v>
      </c>
      <c r="I43" s="17">
        <v>130654</v>
      </c>
      <c r="J43" s="17">
        <v>111226</v>
      </c>
      <c r="K43" s="17">
        <v>407418</v>
      </c>
      <c r="L43" s="17">
        <v>383927</v>
      </c>
      <c r="M43" s="17">
        <v>24004</v>
      </c>
      <c r="N43" s="17">
        <v>6076</v>
      </c>
      <c r="O43" s="17">
        <v>19428</v>
      </c>
      <c r="P43" s="17">
        <v>23491</v>
      </c>
      <c r="Q43" s="17">
        <v>-4063</v>
      </c>
      <c r="R43" s="18">
        <v>7.9795022923339776E-3</v>
      </c>
      <c r="S43" s="19">
        <v>1.3132821415954539E-6</v>
      </c>
      <c r="T43" s="19">
        <v>-5.3358653413023297E-3</v>
      </c>
      <c r="U43" s="19">
        <v>3.1524024526857278E-2</v>
      </c>
      <c r="V43" s="18">
        <v>11.780307886630112</v>
      </c>
      <c r="W43" s="18">
        <v>0.17467138978296443</v>
      </c>
      <c r="X43" s="18">
        <v>0.87234146460576756</v>
      </c>
      <c r="Y43" s="18">
        <v>3.2747698041795642E-2</v>
      </c>
      <c r="Z43" s="20">
        <v>7</v>
      </c>
      <c r="AA43" s="25">
        <v>1.9459101490553132</v>
      </c>
      <c r="AB43" s="21">
        <v>0.66959999999999997</v>
      </c>
      <c r="AC43">
        <v>20.66621071188964</v>
      </c>
      <c r="AD43">
        <v>4</v>
      </c>
      <c r="AE43">
        <v>1.3862943611198906</v>
      </c>
      <c r="AF43">
        <v>0</v>
      </c>
      <c r="AG43">
        <v>-4.2052389209692202E-3</v>
      </c>
      <c r="AH43">
        <v>0.10696743651342699</v>
      </c>
    </row>
    <row r="44" spans="1:34" s="5" customFormat="1" ht="12.5" x14ac:dyDescent="0.25">
      <c r="A44" s="16">
        <v>2015</v>
      </c>
      <c r="B44" s="16" t="s">
        <v>15</v>
      </c>
      <c r="C44" s="17">
        <v>937564</v>
      </c>
      <c r="D44" s="17">
        <v>808597</v>
      </c>
      <c r="E44" s="17">
        <v>128967</v>
      </c>
      <c r="F44" s="17">
        <v>18891</v>
      </c>
      <c r="G44" s="17">
        <v>15082</v>
      </c>
      <c r="H44" s="17">
        <v>941919</v>
      </c>
      <c r="I44" s="17">
        <v>140027</v>
      </c>
      <c r="J44" s="17">
        <v>130654</v>
      </c>
      <c r="K44" s="17">
        <v>380295</v>
      </c>
      <c r="L44" s="17">
        <v>407418</v>
      </c>
      <c r="M44" s="17">
        <v>25311</v>
      </c>
      <c r="N44" s="17">
        <v>3809</v>
      </c>
      <c r="O44" s="17">
        <v>9373</v>
      </c>
      <c r="P44" s="17">
        <v>-27123</v>
      </c>
      <c r="Q44" s="17">
        <v>-17750</v>
      </c>
      <c r="R44" s="18">
        <v>4.0438721376254219E-3</v>
      </c>
      <c r="S44" s="19">
        <v>1.0616624147086957E-6</v>
      </c>
      <c r="T44" s="19">
        <v>-1.884450786107935E-2</v>
      </c>
      <c r="U44" s="19">
        <v>2.68717373786918E-2</v>
      </c>
      <c r="V44" s="18">
        <v>11.849590540139751</v>
      </c>
      <c r="W44" s="18">
        <v>7.1739097157377502E-2</v>
      </c>
      <c r="X44" s="18">
        <v>0.862444590449292</v>
      </c>
      <c r="Y44" s="18">
        <v>2.5413374947858326E-2</v>
      </c>
      <c r="Z44" s="20">
        <v>8</v>
      </c>
      <c r="AA44" s="25">
        <v>2.0794415416798357</v>
      </c>
      <c r="AB44" s="21">
        <v>0.66959999999999997</v>
      </c>
      <c r="AC44">
        <v>20.658795580145441</v>
      </c>
      <c r="AD44">
        <v>5</v>
      </c>
      <c r="AE44">
        <v>1.6094379124341003</v>
      </c>
      <c r="AF44">
        <v>1</v>
      </c>
      <c r="AG44">
        <v>-3.8626925339322899E-3</v>
      </c>
      <c r="AH44">
        <v>0.102976836194351</v>
      </c>
    </row>
    <row r="45" spans="1:34" s="5" customFormat="1" ht="12.5" x14ac:dyDescent="0.25">
      <c r="A45" s="16">
        <v>2016</v>
      </c>
      <c r="B45" s="16" t="s">
        <v>15</v>
      </c>
      <c r="C45" s="17">
        <v>1053523</v>
      </c>
      <c r="D45" s="17">
        <v>912725</v>
      </c>
      <c r="E45" s="17">
        <v>143268</v>
      </c>
      <c r="F45" s="17">
        <v>28520</v>
      </c>
      <c r="G45" s="17">
        <v>201295</v>
      </c>
      <c r="H45" s="17">
        <v>937564</v>
      </c>
      <c r="I45" s="17">
        <v>156425</v>
      </c>
      <c r="J45" s="17">
        <v>140027</v>
      </c>
      <c r="K45" s="17">
        <v>368229</v>
      </c>
      <c r="L45" s="17">
        <v>380295</v>
      </c>
      <c r="M45" s="17">
        <v>22962</v>
      </c>
      <c r="N45" s="17">
        <v>-172775</v>
      </c>
      <c r="O45" s="17">
        <v>16398</v>
      </c>
      <c r="P45" s="17">
        <v>-12066</v>
      </c>
      <c r="Q45" s="17">
        <v>4332</v>
      </c>
      <c r="R45" s="18">
        <v>-0.18428075310058833</v>
      </c>
      <c r="S45" s="19">
        <v>1.0665938538595766E-6</v>
      </c>
      <c r="T45" s="19">
        <v>4.6204845749196859E-3</v>
      </c>
      <c r="U45" s="19">
        <v>2.4491128072323596E-2</v>
      </c>
      <c r="V45" s="18">
        <v>11.960331940866563</v>
      </c>
      <c r="W45" s="18">
        <v>0.1171059867025645</v>
      </c>
      <c r="X45" s="18">
        <v>0.86635507720287075</v>
      </c>
      <c r="Y45" s="18">
        <v>2.6996557035039743E-2</v>
      </c>
      <c r="Z45" s="20">
        <v>9</v>
      </c>
      <c r="AA45" s="25">
        <v>2.1972245773362196</v>
      </c>
      <c r="AB45" s="21">
        <v>0.18859999999999999</v>
      </c>
      <c r="AC45">
        <v>20.775405622958811</v>
      </c>
      <c r="AD45">
        <v>6</v>
      </c>
      <c r="AE45">
        <v>1.791759469228055</v>
      </c>
      <c r="AF45">
        <v>1</v>
      </c>
      <c r="AG45">
        <v>-2.4015485453567202E-3</v>
      </c>
      <c r="AH45">
        <v>8.4891747529559802E-2</v>
      </c>
    </row>
    <row r="46" spans="1:34" s="5" customFormat="1" ht="12.5" x14ac:dyDescent="0.25">
      <c r="A46" s="16">
        <v>2017</v>
      </c>
      <c r="B46" s="16" t="s">
        <v>15</v>
      </c>
      <c r="C46" s="17">
        <v>1332670</v>
      </c>
      <c r="D46" s="17">
        <v>1193970</v>
      </c>
      <c r="E46" s="17">
        <v>185218</v>
      </c>
      <c r="F46" s="17">
        <v>49281</v>
      </c>
      <c r="G46" s="17">
        <v>131796</v>
      </c>
      <c r="H46" s="17">
        <v>1053523</v>
      </c>
      <c r="I46" s="17">
        <v>166437</v>
      </c>
      <c r="J46" s="17">
        <v>156425</v>
      </c>
      <c r="K46" s="17">
        <v>381323</v>
      </c>
      <c r="L46" s="17">
        <v>368229</v>
      </c>
      <c r="M46" s="17">
        <v>18597</v>
      </c>
      <c r="N46" s="17">
        <v>-82515</v>
      </c>
      <c r="O46" s="17">
        <v>10012</v>
      </c>
      <c r="P46" s="17">
        <v>13094</v>
      </c>
      <c r="Q46" s="17">
        <v>-3082</v>
      </c>
      <c r="R46" s="18">
        <v>-7.8322922233306724E-2</v>
      </c>
      <c r="S46" s="19">
        <v>9.4919617322070803E-7</v>
      </c>
      <c r="T46" s="19">
        <v>-2.9254226058662222E-3</v>
      </c>
      <c r="U46" s="19">
        <v>1.7652201233385508E-2</v>
      </c>
      <c r="V46" s="18">
        <v>12.022372138421096</v>
      </c>
      <c r="W46" s="18">
        <v>6.4005114272015343E-2</v>
      </c>
      <c r="X46" s="18">
        <v>0.89592322180284689</v>
      </c>
      <c r="Y46" s="18">
        <v>2.1795442529493898E-2</v>
      </c>
      <c r="Z46" s="20">
        <v>10</v>
      </c>
      <c r="AA46" s="25">
        <v>2.3025850929940459</v>
      </c>
      <c r="AB46" s="21">
        <v>0.18859999999999999</v>
      </c>
      <c r="AC46">
        <v>21.04998783697998</v>
      </c>
      <c r="AD46">
        <v>7</v>
      </c>
      <c r="AE46">
        <v>1.9459101490553132</v>
      </c>
      <c r="AF46">
        <v>1</v>
      </c>
      <c r="AG46">
        <v>-2.1850329235572601E-3</v>
      </c>
      <c r="AH46">
        <v>2.1367089264113698E-2</v>
      </c>
    </row>
    <row r="47" spans="1:34" s="5" customFormat="1" ht="12.5" x14ac:dyDescent="0.25">
      <c r="A47" s="16">
        <v>2018</v>
      </c>
      <c r="B47" s="16" t="s">
        <v>15</v>
      </c>
      <c r="C47" s="17">
        <v>1663661</v>
      </c>
      <c r="D47" s="17">
        <v>1423994</v>
      </c>
      <c r="E47" s="17">
        <v>238663</v>
      </c>
      <c r="F47" s="17">
        <v>74440</v>
      </c>
      <c r="G47" s="17">
        <v>112820</v>
      </c>
      <c r="H47" s="17">
        <v>1332670</v>
      </c>
      <c r="I47" s="17">
        <v>222360</v>
      </c>
      <c r="J47" s="17">
        <v>166437</v>
      </c>
      <c r="K47" s="17">
        <v>441261</v>
      </c>
      <c r="L47" s="17">
        <v>381323</v>
      </c>
      <c r="M47" s="17">
        <v>18004</v>
      </c>
      <c r="N47" s="17">
        <v>-38380</v>
      </c>
      <c r="O47" s="17">
        <v>55923</v>
      </c>
      <c r="P47" s="17">
        <v>59938</v>
      </c>
      <c r="Q47" s="17">
        <v>-4015</v>
      </c>
      <c r="R47" s="18">
        <v>-2.8799327665513592E-2</v>
      </c>
      <c r="S47" s="19">
        <v>7.5037331072208426E-7</v>
      </c>
      <c r="T47" s="19">
        <v>-3.012748842549168E-3</v>
      </c>
      <c r="U47" s="19">
        <v>1.3509721086240404E-2</v>
      </c>
      <c r="V47" s="18">
        <v>12.312052969067405</v>
      </c>
      <c r="W47" s="18">
        <v>0.33600100939094074</v>
      </c>
      <c r="X47" s="18">
        <v>0.85594000219996746</v>
      </c>
      <c r="Y47" s="18">
        <v>1.5783862852130962E-2</v>
      </c>
      <c r="Z47" s="20">
        <v>11</v>
      </c>
      <c r="AA47" s="25">
        <v>2.3978952727983707</v>
      </c>
      <c r="AB47" s="21">
        <v>0.27060000000000001</v>
      </c>
      <c r="AC47">
        <v>21.192965670050771</v>
      </c>
      <c r="AD47">
        <v>8</v>
      </c>
      <c r="AE47">
        <v>2.0794415416798357</v>
      </c>
      <c r="AF47">
        <v>1</v>
      </c>
      <c r="AG47">
        <v>-2.0637561392221398E-3</v>
      </c>
      <c r="AH47">
        <v>7.1019252918635298E-2</v>
      </c>
    </row>
    <row r="48" spans="1:34" s="5" customFormat="1" ht="12.5" x14ac:dyDescent="0.25">
      <c r="A48" s="16">
        <v>2019</v>
      </c>
      <c r="B48" s="16" t="s">
        <v>15</v>
      </c>
      <c r="C48" s="17">
        <v>1876456</v>
      </c>
      <c r="D48" s="17">
        <v>1574227</v>
      </c>
      <c r="E48" s="17">
        <v>302225</v>
      </c>
      <c r="F48" s="17">
        <v>75028</v>
      </c>
      <c r="G48" s="17">
        <v>-225363</v>
      </c>
      <c r="H48" s="17">
        <v>1663661</v>
      </c>
      <c r="I48" s="17">
        <v>233808</v>
      </c>
      <c r="J48" s="17">
        <v>222360</v>
      </c>
      <c r="K48" s="17">
        <v>535170</v>
      </c>
      <c r="L48" s="17">
        <v>441261</v>
      </c>
      <c r="M48" s="17">
        <v>27778</v>
      </c>
      <c r="N48" s="17">
        <v>-150335</v>
      </c>
      <c r="O48" s="17">
        <v>11448</v>
      </c>
      <c r="P48" s="17">
        <v>93909</v>
      </c>
      <c r="Q48" s="17">
        <v>-82461</v>
      </c>
      <c r="R48" s="18">
        <v>-9.036396236973758E-2</v>
      </c>
      <c r="S48" s="19">
        <v>6.0108399487636E-7</v>
      </c>
      <c r="T48" s="19">
        <v>-4.9565987301499526E-2</v>
      </c>
      <c r="U48" s="19">
        <v>1.6696911209675529E-2</v>
      </c>
      <c r="V48" s="18">
        <v>12.362255544714433</v>
      </c>
      <c r="W48" s="18">
        <v>5.1484079870480301E-2</v>
      </c>
      <c r="X48" s="18">
        <v>0.83893627135408455</v>
      </c>
      <c r="Y48" s="18">
        <v>1.1255918985391813E-2</v>
      </c>
      <c r="Z48" s="20">
        <v>12</v>
      </c>
      <c r="AA48" s="25">
        <v>2.4849066497880004</v>
      </c>
      <c r="AB48" s="21">
        <v>0.27060000000000001</v>
      </c>
      <c r="AC48">
        <v>21.3526507283561</v>
      </c>
      <c r="AD48">
        <v>9</v>
      </c>
      <c r="AE48">
        <v>2.1972245773362196</v>
      </c>
      <c r="AF48">
        <v>1</v>
      </c>
      <c r="AG48">
        <v>-1.28434017167735E-3</v>
      </c>
      <c r="AH48">
        <v>6.9106334929131099E-3</v>
      </c>
    </row>
    <row r="49" spans="1:34" s="5" customFormat="1" ht="12.5" x14ac:dyDescent="0.25">
      <c r="A49" s="16">
        <v>2020</v>
      </c>
      <c r="B49" s="16" t="s">
        <v>15</v>
      </c>
      <c r="C49" s="17">
        <v>2486306</v>
      </c>
      <c r="D49" s="17">
        <v>2107705</v>
      </c>
      <c r="E49" s="17">
        <v>378601</v>
      </c>
      <c r="F49" s="17">
        <v>83211</v>
      </c>
      <c r="G49" s="17">
        <v>495438</v>
      </c>
      <c r="H49" s="17">
        <v>1876456</v>
      </c>
      <c r="I49" s="17">
        <v>234446</v>
      </c>
      <c r="J49" s="17">
        <v>233808</v>
      </c>
      <c r="K49" s="17">
        <v>632967</v>
      </c>
      <c r="L49" s="17">
        <v>535170</v>
      </c>
      <c r="M49" s="17">
        <v>30728</v>
      </c>
      <c r="N49" s="17">
        <v>-412227</v>
      </c>
      <c r="O49" s="17">
        <v>638</v>
      </c>
      <c r="P49" s="17">
        <v>97797</v>
      </c>
      <c r="Q49" s="17">
        <v>-97159</v>
      </c>
      <c r="R49" s="18">
        <v>-0.219683808200139</v>
      </c>
      <c r="S49" s="19">
        <v>5.3291950357482401E-7</v>
      </c>
      <c r="T49" s="19">
        <v>-5.1777926047826328E-2</v>
      </c>
      <c r="U49" s="19">
        <v>1.6375550505847193E-2</v>
      </c>
      <c r="V49" s="18">
        <v>12.364980563165108</v>
      </c>
      <c r="W49" s="18">
        <v>2.7287346882912474E-3</v>
      </c>
      <c r="X49" s="18">
        <v>0.84772550120540269</v>
      </c>
      <c r="Y49" s="18">
        <v>1.4803437970301462E-2</v>
      </c>
      <c r="Z49" s="20">
        <v>13</v>
      </c>
      <c r="AA49" s="25">
        <v>2.5649493574615367</v>
      </c>
      <c r="AB49" s="21">
        <v>0.27060000000000001</v>
      </c>
      <c r="AC49">
        <v>21.634063911760141</v>
      </c>
      <c r="AD49">
        <v>10</v>
      </c>
      <c r="AE49">
        <v>2.3025850929940459</v>
      </c>
      <c r="AF49">
        <v>1</v>
      </c>
      <c r="AG49">
        <v>-1.9513097844790701E-3</v>
      </c>
      <c r="AH49">
        <v>0.122622750676479</v>
      </c>
    </row>
    <row r="50" spans="1:34" s="5" customFormat="1" ht="12.5" x14ac:dyDescent="0.25">
      <c r="A50" s="16">
        <v>2021</v>
      </c>
      <c r="B50" s="16" t="s">
        <v>15</v>
      </c>
      <c r="C50" s="17">
        <v>2742764</v>
      </c>
      <c r="D50" s="17">
        <v>2365898</v>
      </c>
      <c r="E50" s="17">
        <v>376866</v>
      </c>
      <c r="F50" s="17">
        <v>56966</v>
      </c>
      <c r="G50" s="17">
        <v>83601</v>
      </c>
      <c r="H50" s="17">
        <v>2486306</v>
      </c>
      <c r="I50" s="17">
        <v>206644</v>
      </c>
      <c r="J50" s="17">
        <v>234446</v>
      </c>
      <c r="K50" s="17">
        <v>937140</v>
      </c>
      <c r="L50" s="17">
        <v>632967</v>
      </c>
      <c r="M50" s="17">
        <v>42720</v>
      </c>
      <c r="N50" s="17">
        <v>-26635</v>
      </c>
      <c r="O50" s="17">
        <v>-27802</v>
      </c>
      <c r="P50" s="17">
        <v>304173</v>
      </c>
      <c r="Q50" s="17">
        <v>-331975</v>
      </c>
      <c r="R50" s="18">
        <v>-1.0712679774734083E-2</v>
      </c>
      <c r="S50" s="19">
        <v>4.0220310774297292E-7</v>
      </c>
      <c r="T50" s="19">
        <v>-0.13352137669297343</v>
      </c>
      <c r="U50" s="19">
        <v>1.7182116762779802E-2</v>
      </c>
      <c r="V50" s="18">
        <v>12.238752784918802</v>
      </c>
      <c r="W50" s="18">
        <v>-0.11858594303165761</v>
      </c>
      <c r="X50" s="18">
        <v>0.86259627149838625</v>
      </c>
      <c r="Y50" s="18">
        <v>1.2358897094726071E-2</v>
      </c>
      <c r="Z50" s="20">
        <v>14</v>
      </c>
      <c r="AA50" s="25">
        <v>2.6390573296152584</v>
      </c>
      <c r="AB50" s="21">
        <v>0.27060000000000001</v>
      </c>
      <c r="AC50">
        <v>21.732232008014901</v>
      </c>
      <c r="AD50">
        <v>1</v>
      </c>
      <c r="AE50">
        <v>0</v>
      </c>
      <c r="AF50">
        <v>0</v>
      </c>
      <c r="AG50">
        <v>-1.2522406332118E-3</v>
      </c>
      <c r="AH50">
        <v>7.1174306858795694E-2</v>
      </c>
    </row>
    <row r="51" spans="1:34" s="5" customFormat="1" ht="12.5" x14ac:dyDescent="0.25">
      <c r="A51" s="16">
        <v>2022</v>
      </c>
      <c r="B51" s="16" t="s">
        <v>15</v>
      </c>
      <c r="C51" s="17">
        <v>3029026</v>
      </c>
      <c r="D51" s="17">
        <v>2621356</v>
      </c>
      <c r="E51" s="17">
        <v>407670</v>
      </c>
      <c r="F51" s="17">
        <v>80834</v>
      </c>
      <c r="G51" s="17">
        <v>-84232</v>
      </c>
      <c r="H51" s="17">
        <v>2742764</v>
      </c>
      <c r="I51" s="17">
        <v>287537</v>
      </c>
      <c r="J51" s="17">
        <v>206644</v>
      </c>
      <c r="K51" s="17">
        <v>937140</v>
      </c>
      <c r="L51" s="17">
        <v>937140</v>
      </c>
      <c r="M51" s="17">
        <v>61548</v>
      </c>
      <c r="N51" s="17">
        <v>-3398</v>
      </c>
      <c r="O51" s="17">
        <v>80893</v>
      </c>
      <c r="P51" s="17">
        <v>0</v>
      </c>
      <c r="Q51" s="17">
        <v>80893</v>
      </c>
      <c r="R51" s="18">
        <v>-1.2388962375180657E-3</v>
      </c>
      <c r="S51" s="19">
        <v>3.6459571439613469E-7</v>
      </c>
      <c r="T51" s="19">
        <v>2.9493241124646526E-2</v>
      </c>
      <c r="U51" s="19">
        <v>2.24401370296533E-2</v>
      </c>
      <c r="V51" s="18">
        <v>12.569106826591142</v>
      </c>
      <c r="W51" s="18">
        <v>0.39146067633224291</v>
      </c>
      <c r="X51" s="18">
        <v>0.86541218200173919</v>
      </c>
      <c r="Y51" s="18">
        <v>1.5575528919002874E-2</v>
      </c>
      <c r="Z51" s="20">
        <v>15</v>
      </c>
      <c r="AA51" s="25">
        <v>2.7080502011022101</v>
      </c>
      <c r="AB51" s="21">
        <v>0.27060000000000001</v>
      </c>
      <c r="AC51">
        <v>21.831506952645661</v>
      </c>
      <c r="AD51">
        <v>2</v>
      </c>
      <c r="AE51">
        <v>0.69314718055994529</v>
      </c>
      <c r="AF51">
        <v>0</v>
      </c>
      <c r="AG51">
        <v>-6.6430710969858902E-4</v>
      </c>
      <c r="AH51">
        <v>9.7397862544531005E-2</v>
      </c>
    </row>
    <row r="52" spans="1:34" s="5" customFormat="1" ht="12.5" x14ac:dyDescent="0.25">
      <c r="A52" s="16">
        <v>2013</v>
      </c>
      <c r="B52" s="16" t="s">
        <v>8</v>
      </c>
      <c r="C52" s="17">
        <v>707797181</v>
      </c>
      <c r="D52" s="17">
        <v>644339285</v>
      </c>
      <c r="E52" s="17">
        <v>63457896</v>
      </c>
      <c r="F52" s="17">
        <v>8274864</v>
      </c>
      <c r="G52" s="17">
        <v>-43952582</v>
      </c>
      <c r="H52" s="17">
        <v>580225940</v>
      </c>
      <c r="I52" s="17">
        <v>91742770</v>
      </c>
      <c r="J52" s="17">
        <v>68856815</v>
      </c>
      <c r="K52" s="17">
        <v>321743748</v>
      </c>
      <c r="L52" s="17">
        <v>229420874</v>
      </c>
      <c r="M52" s="17">
        <v>9069368</v>
      </c>
      <c r="N52" s="17">
        <v>-35677718</v>
      </c>
      <c r="O52" s="17">
        <v>22885955</v>
      </c>
      <c r="P52" s="17">
        <v>92322874</v>
      </c>
      <c r="Q52" s="17">
        <v>-69436919</v>
      </c>
      <c r="R52" s="18">
        <v>-6.1489353612835716E-2</v>
      </c>
      <c r="S52" s="19">
        <v>1.7234665516677866E-9</v>
      </c>
      <c r="T52" s="19">
        <v>-0.1196722073473654</v>
      </c>
      <c r="U52" s="19">
        <v>1.5630752392766168E-2</v>
      </c>
      <c r="V52" s="18">
        <v>18.334499240704066</v>
      </c>
      <c r="W52" s="18">
        <v>0.33237022363000668</v>
      </c>
      <c r="X52" s="18">
        <v>0.91034452000734944</v>
      </c>
      <c r="Y52" s="18">
        <v>1.3431519452577388E-2</v>
      </c>
      <c r="Z52" s="20">
        <v>55</v>
      </c>
      <c r="AA52" s="25">
        <v>4.0073331852324712</v>
      </c>
      <c r="AB52" s="21">
        <v>15.584099999999999</v>
      </c>
      <c r="AC52">
        <v>20.377668143104209</v>
      </c>
      <c r="AD52">
        <v>4</v>
      </c>
      <c r="AE52">
        <v>1.3862943611198906</v>
      </c>
      <c r="AF52">
        <v>0</v>
      </c>
      <c r="AG52">
        <v>-7.2247864689813602E-3</v>
      </c>
      <c r="AH52">
        <v>6.8547560891912995E-2</v>
      </c>
    </row>
    <row r="53" spans="1:34" s="5" customFormat="1" ht="12.5" x14ac:dyDescent="0.25">
      <c r="A53" s="16">
        <v>2014</v>
      </c>
      <c r="B53" s="16" t="s">
        <v>8</v>
      </c>
      <c r="C53" s="17">
        <v>824539426</v>
      </c>
      <c r="D53" s="17">
        <v>739824141</v>
      </c>
      <c r="E53" s="17">
        <v>84715285</v>
      </c>
      <c r="F53" s="17">
        <v>9004973</v>
      </c>
      <c r="G53" s="17">
        <v>-755006</v>
      </c>
      <c r="H53" s="17">
        <v>707797181</v>
      </c>
      <c r="I53" s="17">
        <v>103677466</v>
      </c>
      <c r="J53" s="17">
        <v>91742770</v>
      </c>
      <c r="K53" s="17">
        <v>371246273</v>
      </c>
      <c r="L53" s="17">
        <v>321743748</v>
      </c>
      <c r="M53" s="17">
        <v>13952027</v>
      </c>
      <c r="N53" s="17">
        <v>8249967</v>
      </c>
      <c r="O53" s="17">
        <v>11934696</v>
      </c>
      <c r="P53" s="17">
        <v>49502525</v>
      </c>
      <c r="Q53" s="17">
        <v>-37567829</v>
      </c>
      <c r="R53" s="18">
        <v>1.1655834780726543E-2</v>
      </c>
      <c r="S53" s="19">
        <v>1.4128341096063223E-9</v>
      </c>
      <c r="T53" s="19">
        <v>-5.3077110235057574E-2</v>
      </c>
      <c r="U53" s="19">
        <v>1.9711899643748369E-2</v>
      </c>
      <c r="V53" s="18">
        <v>18.456795349683144</v>
      </c>
      <c r="W53" s="18">
        <v>0.13008868164761103</v>
      </c>
      <c r="X53" s="18">
        <v>0.89725744782033023</v>
      </c>
      <c r="Y53" s="18">
        <v>1.2813512462972073E-2</v>
      </c>
      <c r="Z53" s="20">
        <v>56</v>
      </c>
      <c r="AA53" s="25">
        <v>4.0253516907351496</v>
      </c>
      <c r="AB53" s="21">
        <v>15.584099999999999</v>
      </c>
      <c r="AC53">
        <v>20.53033551689224</v>
      </c>
      <c r="AD53">
        <v>5</v>
      </c>
      <c r="AE53">
        <v>1.6094379124341003</v>
      </c>
      <c r="AF53">
        <v>0</v>
      </c>
      <c r="AG53">
        <v>-2.6143061414415701E-3</v>
      </c>
      <c r="AH53">
        <v>1.59576465149344E-2</v>
      </c>
    </row>
    <row r="54" spans="1:34" s="5" customFormat="1" ht="12.5" x14ac:dyDescent="0.25">
      <c r="A54" s="16">
        <v>2015</v>
      </c>
      <c r="B54" s="16" t="s">
        <v>8</v>
      </c>
      <c r="C54" s="17">
        <v>799451417</v>
      </c>
      <c r="D54" s="17">
        <v>703885670</v>
      </c>
      <c r="E54" s="17">
        <v>10292577</v>
      </c>
      <c r="F54" s="17">
        <v>10292577</v>
      </c>
      <c r="G54" s="17">
        <v>54691995</v>
      </c>
      <c r="H54" s="17">
        <v>824539426</v>
      </c>
      <c r="I54" s="17">
        <v>110193835</v>
      </c>
      <c r="J54" s="17">
        <v>103677466</v>
      </c>
      <c r="K54" s="17">
        <v>338726271</v>
      </c>
      <c r="L54" s="17">
        <v>371246273</v>
      </c>
      <c r="M54" s="17">
        <v>15258217</v>
      </c>
      <c r="N54" s="17">
        <v>-44399418</v>
      </c>
      <c r="O54" s="17">
        <v>6516369</v>
      </c>
      <c r="P54" s="17">
        <v>-32520002</v>
      </c>
      <c r="Q54" s="17">
        <v>-26003633</v>
      </c>
      <c r="R54" s="18">
        <v>-5.3847537910212677E-2</v>
      </c>
      <c r="S54" s="19">
        <v>1.2127982828561554E-9</v>
      </c>
      <c r="T54" s="19">
        <v>-3.1537161450421659E-2</v>
      </c>
      <c r="U54" s="19">
        <v>1.8505139377046599E-2</v>
      </c>
      <c r="V54" s="18">
        <v>18.517751509379522</v>
      </c>
      <c r="W54" s="18">
        <v>6.2852317397495042E-2</v>
      </c>
      <c r="X54" s="18">
        <v>0.88046084481453857</v>
      </c>
      <c r="Y54" s="18">
        <v>1.6920994387962698E-2</v>
      </c>
      <c r="Z54" s="20">
        <v>57</v>
      </c>
      <c r="AA54" s="25">
        <v>4.0430512678345503</v>
      </c>
      <c r="AB54" s="21">
        <v>15.584099999999999</v>
      </c>
      <c r="AC54">
        <v>20.499441325081179</v>
      </c>
      <c r="AD54">
        <v>6</v>
      </c>
      <c r="AE54">
        <v>1.791759469228055</v>
      </c>
      <c r="AF54">
        <v>1</v>
      </c>
      <c r="AG54">
        <v>-5.2705541846103801E-3</v>
      </c>
      <c r="AH54">
        <v>4.7677020293249002E-2</v>
      </c>
    </row>
    <row r="55" spans="1:34" s="5" customFormat="1" ht="12.5" x14ac:dyDescent="0.25">
      <c r="A55" s="16">
        <v>2016</v>
      </c>
      <c r="B55" s="16" t="s">
        <v>8</v>
      </c>
      <c r="C55" s="17">
        <v>830802224</v>
      </c>
      <c r="D55" s="17">
        <v>745123602</v>
      </c>
      <c r="E55" s="17">
        <v>85678622</v>
      </c>
      <c r="F55" s="17">
        <v>5180964</v>
      </c>
      <c r="G55" s="17">
        <v>-124892482</v>
      </c>
      <c r="H55" s="17">
        <v>799451417</v>
      </c>
      <c r="I55" s="17">
        <v>111238000</v>
      </c>
      <c r="J55" s="17">
        <v>110193835</v>
      </c>
      <c r="K55" s="17">
        <v>468250000</v>
      </c>
      <c r="L55" s="17">
        <v>338726271</v>
      </c>
      <c r="M55" s="17">
        <v>14604187</v>
      </c>
      <c r="N55" s="17">
        <v>-119711518</v>
      </c>
      <c r="O55" s="17">
        <v>1044165</v>
      </c>
      <c r="P55" s="17">
        <v>129523729</v>
      </c>
      <c r="Q55" s="17">
        <v>-128479564</v>
      </c>
      <c r="R55" s="18">
        <v>-0.14974207994930605</v>
      </c>
      <c r="S55" s="19">
        <v>1.2508577491207323E-9</v>
      </c>
      <c r="T55" s="19">
        <v>-0.16070965823305308</v>
      </c>
      <c r="U55" s="19">
        <v>1.826776047855826E-2</v>
      </c>
      <c r="V55" s="18">
        <v>18.527182608024219</v>
      </c>
      <c r="W55" s="18">
        <v>9.4757115949363237E-3</v>
      </c>
      <c r="X55" s="18">
        <v>0.89687242098668241</v>
      </c>
      <c r="Y55" s="18">
        <v>1.9085763477915116E-2</v>
      </c>
      <c r="Z55" s="20">
        <v>58</v>
      </c>
      <c r="AA55" s="25">
        <v>4.0604430105464191</v>
      </c>
      <c r="AB55" s="21">
        <v>15.584099999999999</v>
      </c>
      <c r="AC55">
        <v>20.541971692183921</v>
      </c>
      <c r="AD55">
        <v>7</v>
      </c>
      <c r="AE55">
        <v>1.9459101490553132</v>
      </c>
      <c r="AF55">
        <v>1</v>
      </c>
      <c r="AG55">
        <v>-1.18831291172908E-2</v>
      </c>
      <c r="AH55">
        <v>0.16839583491891499</v>
      </c>
    </row>
    <row r="56" spans="1:34" s="5" customFormat="1" ht="12.5" x14ac:dyDescent="0.25">
      <c r="A56" s="16">
        <v>2017</v>
      </c>
      <c r="B56" s="16" t="s">
        <v>8</v>
      </c>
      <c r="C56" s="17">
        <v>1068798000</v>
      </c>
      <c r="D56" s="17">
        <v>965905000</v>
      </c>
      <c r="E56" s="17">
        <v>102893000</v>
      </c>
      <c r="F56" s="17">
        <v>8455000</v>
      </c>
      <c r="G56" s="17">
        <v>-46542000</v>
      </c>
      <c r="H56" s="17">
        <v>830802224</v>
      </c>
      <c r="I56" s="17">
        <v>133022000</v>
      </c>
      <c r="J56" s="17">
        <v>111238000</v>
      </c>
      <c r="K56" s="17">
        <v>598073000</v>
      </c>
      <c r="L56" s="17">
        <v>468250000</v>
      </c>
      <c r="M56" s="17">
        <v>16451000</v>
      </c>
      <c r="N56" s="17">
        <v>-38087000</v>
      </c>
      <c r="O56" s="17">
        <v>21784000</v>
      </c>
      <c r="P56" s="17">
        <v>129823000</v>
      </c>
      <c r="Q56" s="17">
        <v>-108039000</v>
      </c>
      <c r="R56" s="18">
        <v>-4.5843642325155837E-2</v>
      </c>
      <c r="S56" s="19">
        <v>1.2036559016240669E-9</v>
      </c>
      <c r="T56" s="19">
        <v>-0.13004177995556257</v>
      </c>
      <c r="U56" s="19">
        <v>1.9801343237617525E-2</v>
      </c>
      <c r="V56" s="18">
        <v>18.706025086040551</v>
      </c>
      <c r="W56" s="18">
        <v>0.19583235944551322</v>
      </c>
      <c r="X56" s="18">
        <v>0.9037301716507703</v>
      </c>
      <c r="Y56" s="18">
        <v>1.7507028225405976E-2</v>
      </c>
      <c r="Z56" s="20">
        <v>59</v>
      </c>
      <c r="AA56" s="25">
        <v>4.0775374439057197</v>
      </c>
      <c r="AB56" s="21">
        <v>15.584099999999999</v>
      </c>
      <c r="AC56">
        <v>20.792979382019091</v>
      </c>
      <c r="AD56">
        <v>8</v>
      </c>
      <c r="AE56">
        <v>2.0794415416798357</v>
      </c>
      <c r="AF56">
        <v>1</v>
      </c>
      <c r="AG56">
        <v>-9.4098216310326901E-3</v>
      </c>
      <c r="AH56">
        <v>5.56390497005032E-2</v>
      </c>
    </row>
    <row r="57" spans="1:34" s="5" customFormat="1" ht="12.5" x14ac:dyDescent="0.25">
      <c r="A57" s="16">
        <v>2018</v>
      </c>
      <c r="B57" s="16" t="s">
        <v>8</v>
      </c>
      <c r="C57" s="17">
        <v>1085876000</v>
      </c>
      <c r="D57" s="17">
        <v>987867000</v>
      </c>
      <c r="E57" s="17">
        <v>97800000</v>
      </c>
      <c r="F57" s="17">
        <v>9468000</v>
      </c>
      <c r="G57" s="17">
        <v>35056000</v>
      </c>
      <c r="H57" s="17">
        <v>1068798000</v>
      </c>
      <c r="I57" s="17">
        <v>147791000</v>
      </c>
      <c r="J57" s="17">
        <v>133022000</v>
      </c>
      <c r="K57" s="17">
        <v>621017000</v>
      </c>
      <c r="L57" s="17">
        <v>598073000</v>
      </c>
      <c r="M57" s="17">
        <v>16942000</v>
      </c>
      <c r="N57" s="17">
        <v>-25588000</v>
      </c>
      <c r="O57" s="17">
        <v>14769000</v>
      </c>
      <c r="P57" s="17">
        <v>22944000</v>
      </c>
      <c r="Q57" s="17">
        <v>-8175000</v>
      </c>
      <c r="R57" s="18">
        <v>-2.3940913063085822E-2</v>
      </c>
      <c r="S57" s="19">
        <v>9.3563049332053388E-10</v>
      </c>
      <c r="T57" s="19">
        <v>-7.6487792828953648E-3</v>
      </c>
      <c r="U57" s="19">
        <v>1.5851451817836485E-2</v>
      </c>
      <c r="V57" s="18">
        <v>18.811309671525532</v>
      </c>
      <c r="W57" s="18">
        <v>0.11102674745530815</v>
      </c>
      <c r="X57" s="18">
        <v>0.90974199632370545</v>
      </c>
      <c r="Y57" s="18">
        <v>1.5343205238570006E-2</v>
      </c>
      <c r="Z57" s="20">
        <v>60</v>
      </c>
      <c r="AA57" s="25">
        <v>4.0943445622221004</v>
      </c>
      <c r="AB57" s="21">
        <v>5.6795</v>
      </c>
      <c r="AC57">
        <v>20.821227951805959</v>
      </c>
      <c r="AD57">
        <v>9</v>
      </c>
      <c r="AE57">
        <v>2.1972245773362196</v>
      </c>
      <c r="AF57">
        <v>1</v>
      </c>
      <c r="AG57">
        <v>-7.5813888847158298E-3</v>
      </c>
      <c r="AH57">
        <v>1.6743135059659901E-2</v>
      </c>
    </row>
    <row r="58" spans="1:34" s="5" customFormat="1" ht="12.5" x14ac:dyDescent="0.25">
      <c r="A58" s="16">
        <v>2019</v>
      </c>
      <c r="B58" s="16" t="s">
        <v>8</v>
      </c>
      <c r="C58" s="17">
        <v>1165509000</v>
      </c>
      <c r="D58" s="17">
        <v>1046181000</v>
      </c>
      <c r="E58" s="17">
        <v>119328000</v>
      </c>
      <c r="F58" s="17">
        <v>10163000</v>
      </c>
      <c r="G58" s="17">
        <v>114414000</v>
      </c>
      <c r="H58" s="17">
        <v>1085876000</v>
      </c>
      <c r="I58" s="17">
        <v>147439000</v>
      </c>
      <c r="J58" s="17">
        <v>147791000</v>
      </c>
      <c r="K58" s="17">
        <v>618732000</v>
      </c>
      <c r="L58" s="17">
        <v>621017000</v>
      </c>
      <c r="M58" s="17">
        <v>18476000</v>
      </c>
      <c r="N58" s="17">
        <v>-104251000</v>
      </c>
      <c r="O58" s="17">
        <v>-352000</v>
      </c>
      <c r="P58" s="17">
        <v>-2285000</v>
      </c>
      <c r="Q58" s="17">
        <v>-2637000</v>
      </c>
      <c r="R58" s="18">
        <v>-9.6006358000361003E-2</v>
      </c>
      <c r="S58" s="19">
        <v>9.2091546364409931E-10</v>
      </c>
      <c r="T58" s="19">
        <v>-2.4284540776294901E-3</v>
      </c>
      <c r="U58" s="19">
        <v>1.701483410628838E-2</v>
      </c>
      <c r="V58" s="18">
        <v>18.808925088882873</v>
      </c>
      <c r="W58" s="18">
        <v>-2.3817417840057919E-3</v>
      </c>
      <c r="X58" s="18">
        <v>0.89761726421674992</v>
      </c>
      <c r="Y58" s="18">
        <v>1.5361027671066197E-2</v>
      </c>
      <c r="Z58" s="20">
        <v>61</v>
      </c>
      <c r="AA58" s="25">
        <v>4.1108738641733114</v>
      </c>
      <c r="AB58" s="21">
        <v>5.6795</v>
      </c>
      <c r="AC58">
        <v>20.891053114296579</v>
      </c>
      <c r="AD58">
        <v>10</v>
      </c>
      <c r="AE58">
        <v>2.3025850929940459</v>
      </c>
      <c r="AF58">
        <v>1</v>
      </c>
      <c r="AG58">
        <v>-7.0617950025041298E-3</v>
      </c>
      <c r="AH58">
        <v>8.8794209616555098E-2</v>
      </c>
    </row>
    <row r="59" spans="1:34" s="5" customFormat="1" ht="12.5" x14ac:dyDescent="0.25">
      <c r="A59" s="16">
        <v>2020</v>
      </c>
      <c r="B59" s="16" t="s">
        <v>8</v>
      </c>
      <c r="C59" s="17">
        <v>1281830000</v>
      </c>
      <c r="D59" s="17">
        <v>1146440000</v>
      </c>
      <c r="E59" s="17">
        <v>135390000</v>
      </c>
      <c r="F59" s="17">
        <v>11110000</v>
      </c>
      <c r="G59" s="17">
        <v>4406000</v>
      </c>
      <c r="H59" s="17">
        <v>1165509000</v>
      </c>
      <c r="I59" s="17">
        <v>133413000</v>
      </c>
      <c r="J59" s="17">
        <v>147439000</v>
      </c>
      <c r="K59" s="17">
        <v>596827000</v>
      </c>
      <c r="L59" s="17">
        <v>618732000</v>
      </c>
      <c r="M59" s="17">
        <v>15956000</v>
      </c>
      <c r="N59" s="17">
        <v>6704000</v>
      </c>
      <c r="O59" s="17">
        <v>-14026000</v>
      </c>
      <c r="P59" s="17">
        <v>-21905000</v>
      </c>
      <c r="Q59" s="17">
        <v>-35931000</v>
      </c>
      <c r="R59" s="18">
        <v>5.7519933351008017E-3</v>
      </c>
      <c r="S59" s="19">
        <v>8.5799423256276867E-10</v>
      </c>
      <c r="T59" s="19">
        <v>-3.0828590770212844E-2</v>
      </c>
      <c r="U59" s="19">
        <v>1.3690155974771537E-2</v>
      </c>
      <c r="V59" s="18">
        <v>18.708960137972092</v>
      </c>
      <c r="W59" s="18">
        <v>-9.5130867680871409E-2</v>
      </c>
      <c r="X59" s="18">
        <v>0.89437756956850756</v>
      </c>
      <c r="Y59" s="18">
        <v>1.5622080266512215E-2</v>
      </c>
      <c r="Z59" s="20">
        <v>62</v>
      </c>
      <c r="AA59" s="25">
        <v>4.1271343850450917</v>
      </c>
      <c r="AB59" s="21">
        <v>5.6795</v>
      </c>
      <c r="AC59">
        <v>20.98491830968873</v>
      </c>
      <c r="AD59">
        <v>1</v>
      </c>
      <c r="AE59">
        <v>0</v>
      </c>
      <c r="AF59">
        <v>0</v>
      </c>
      <c r="AG59">
        <v>-1.22126867879261E-2</v>
      </c>
      <c r="AH59">
        <v>1.21217213082875E-2</v>
      </c>
    </row>
    <row r="60" spans="1:34" s="5" customFormat="1" ht="12.5" x14ac:dyDescent="0.25">
      <c r="A60" s="16">
        <v>2021</v>
      </c>
      <c r="B60" s="16" t="s">
        <v>8</v>
      </c>
      <c r="C60" s="17">
        <v>1611749000</v>
      </c>
      <c r="D60" s="17">
        <v>1470733000</v>
      </c>
      <c r="E60" s="17">
        <v>141016000</v>
      </c>
      <c r="F60" s="17">
        <v>13403000</v>
      </c>
      <c r="G60" s="17">
        <v>145027000</v>
      </c>
      <c r="H60" s="17">
        <v>1281830000</v>
      </c>
      <c r="I60" s="17">
        <v>144759000</v>
      </c>
      <c r="J60" s="17">
        <v>133413000</v>
      </c>
      <c r="K60" s="17">
        <v>711900000</v>
      </c>
      <c r="L60" s="17">
        <v>596827000</v>
      </c>
      <c r="M60" s="17">
        <v>16939000</v>
      </c>
      <c r="N60" s="17">
        <v>-131624000</v>
      </c>
      <c r="O60" s="17">
        <v>11346000</v>
      </c>
      <c r="P60" s="17">
        <v>115073000</v>
      </c>
      <c r="Q60" s="17">
        <v>-103727000</v>
      </c>
      <c r="R60" s="18">
        <v>-0.10268444333491961</v>
      </c>
      <c r="S60" s="19">
        <v>7.8013465124080412E-10</v>
      </c>
      <c r="T60" s="19">
        <v>-8.0921026969254892E-2</v>
      </c>
      <c r="U60" s="19">
        <v>1.3214700857367982E-2</v>
      </c>
      <c r="V60" s="18">
        <v>18.790580848650325</v>
      </c>
      <c r="W60" s="18">
        <v>8.5044186098805957E-2</v>
      </c>
      <c r="X60" s="18">
        <v>0.91250746859467569</v>
      </c>
      <c r="Y60" s="18">
        <v>1.2282585685968862E-2</v>
      </c>
      <c r="Z60" s="20">
        <v>63</v>
      </c>
      <c r="AA60" s="25">
        <v>4.1431347263915326</v>
      </c>
      <c r="AB60" s="21">
        <v>5.6795</v>
      </c>
      <c r="AC60">
        <v>21.21131135311791</v>
      </c>
      <c r="AD60">
        <v>2</v>
      </c>
      <c r="AE60">
        <v>0.69314718055994529</v>
      </c>
      <c r="AF60">
        <v>0</v>
      </c>
      <c r="AG60">
        <v>-6.6795817023818597E-3</v>
      </c>
      <c r="AH60">
        <v>0.101899733906751</v>
      </c>
    </row>
    <row r="61" spans="1:34" s="5" customFormat="1" ht="12.5" x14ac:dyDescent="0.25">
      <c r="A61" s="16">
        <v>2022</v>
      </c>
      <c r="B61" s="16" t="s">
        <v>8</v>
      </c>
      <c r="C61" s="17">
        <v>1857992000</v>
      </c>
      <c r="D61" s="17">
        <v>1703994000</v>
      </c>
      <c r="E61" s="17">
        <v>153552000</v>
      </c>
      <c r="F61" s="17">
        <v>19327000</v>
      </c>
      <c r="G61" s="17">
        <v>70837000</v>
      </c>
      <c r="H61" s="17">
        <v>1611749000</v>
      </c>
      <c r="I61" s="17">
        <v>144448000</v>
      </c>
      <c r="J61" s="17">
        <v>144759000</v>
      </c>
      <c r="K61" s="17">
        <v>100441000</v>
      </c>
      <c r="L61" s="17">
        <v>711900000</v>
      </c>
      <c r="M61" s="17">
        <v>17913000</v>
      </c>
      <c r="N61" s="17">
        <v>-51510000</v>
      </c>
      <c r="O61" s="17">
        <v>-311000</v>
      </c>
      <c r="P61" s="17">
        <v>-611459000</v>
      </c>
      <c r="Q61" s="17">
        <v>-611770000</v>
      </c>
      <c r="R61" s="18">
        <v>-3.195907055006704E-2</v>
      </c>
      <c r="S61" s="19">
        <v>6.2044400213680916E-10</v>
      </c>
      <c r="T61" s="19">
        <v>-0.37956902718723573</v>
      </c>
      <c r="U61" s="19">
        <v>1.1114013410276662E-2</v>
      </c>
      <c r="V61" s="18">
        <v>18.788430139159345</v>
      </c>
      <c r="W61" s="18">
        <v>-2.1483983724673423E-3</v>
      </c>
      <c r="X61" s="18">
        <v>0.91711589716209763</v>
      </c>
      <c r="Y61" s="18">
        <v>1.0397580547642329E-2</v>
      </c>
      <c r="Z61" s="20">
        <v>64</v>
      </c>
      <c r="AA61" s="25">
        <v>4.1588830833596715</v>
      </c>
      <c r="AB61" s="21">
        <v>5.6795</v>
      </c>
      <c r="AC61">
        <v>21.342762171623729</v>
      </c>
      <c r="AD61">
        <v>3</v>
      </c>
      <c r="AE61">
        <v>1.0986122886681098</v>
      </c>
      <c r="AF61">
        <v>0</v>
      </c>
      <c r="AG61">
        <v>-1.11490018319603E-2</v>
      </c>
      <c r="AH61">
        <v>0.16864768789133799</v>
      </c>
    </row>
    <row r="62" spans="1:34" s="5" customFormat="1" ht="12.5" x14ac:dyDescent="0.25">
      <c r="A62" s="16">
        <v>2013</v>
      </c>
      <c r="B62" s="16" t="s">
        <v>5</v>
      </c>
      <c r="C62" s="17">
        <v>2217417000</v>
      </c>
      <c r="D62" s="17">
        <v>1957879000</v>
      </c>
      <c r="E62" s="17">
        <v>259538000</v>
      </c>
      <c r="F62" s="17">
        <v>46483000</v>
      </c>
      <c r="G62" s="17">
        <v>136105000</v>
      </c>
      <c r="H62" s="17">
        <v>1933065000</v>
      </c>
      <c r="I62" s="17">
        <v>214273</v>
      </c>
      <c r="J62" s="17">
        <v>177429</v>
      </c>
      <c r="K62" s="17">
        <v>823193</v>
      </c>
      <c r="L62" s="17">
        <v>598592</v>
      </c>
      <c r="M62" s="17">
        <v>67661</v>
      </c>
      <c r="N62" s="17">
        <v>-89622000</v>
      </c>
      <c r="O62" s="17">
        <v>36844</v>
      </c>
      <c r="P62" s="17">
        <v>224601</v>
      </c>
      <c r="Q62" s="17">
        <v>-187757</v>
      </c>
      <c r="R62" s="18">
        <v>-4.636264171147892E-2</v>
      </c>
      <c r="S62" s="19">
        <v>5.1731317881188683E-10</v>
      </c>
      <c r="T62" s="19">
        <v>-9.7129170514183432E-5</v>
      </c>
      <c r="U62" s="19">
        <v>3.5001926991591072E-5</v>
      </c>
      <c r="V62" s="18">
        <v>12.2750061819235</v>
      </c>
      <c r="W62" s="18">
        <v>0.20765489294309272</v>
      </c>
      <c r="X62" s="18">
        <v>0.88295480732762488</v>
      </c>
      <c r="Y62" s="18">
        <v>2.853919470036665E-2</v>
      </c>
      <c r="Z62" s="20">
        <v>64</v>
      </c>
      <c r="AA62" s="25">
        <v>4.1588830833596715</v>
      </c>
      <c r="AB62" s="21">
        <v>1.1315999999999999</v>
      </c>
      <c r="AC62">
        <v>21.69491407310705</v>
      </c>
      <c r="AD62">
        <v>4</v>
      </c>
      <c r="AE62">
        <v>1.3862943611198906</v>
      </c>
      <c r="AF62">
        <v>0</v>
      </c>
      <c r="AG62">
        <v>6.2741536077419502E-2</v>
      </c>
      <c r="AH62">
        <v>0.151982682412413</v>
      </c>
    </row>
    <row r="63" spans="1:34" s="5" customFormat="1" ht="12.5" x14ac:dyDescent="0.25">
      <c r="A63" s="16">
        <v>2014</v>
      </c>
      <c r="B63" s="16" t="s">
        <v>5</v>
      </c>
      <c r="C63" s="17">
        <v>2338858000</v>
      </c>
      <c r="D63" s="17">
        <v>2056925000</v>
      </c>
      <c r="E63" s="17">
        <v>281933000</v>
      </c>
      <c r="F63" s="17">
        <v>40083000</v>
      </c>
      <c r="G63" s="17">
        <v>-92619000</v>
      </c>
      <c r="H63" s="17">
        <v>2217417000</v>
      </c>
      <c r="I63" s="17">
        <v>314844</v>
      </c>
      <c r="J63" s="17">
        <v>214273</v>
      </c>
      <c r="K63" s="17">
        <v>933578</v>
      </c>
      <c r="L63" s="17">
        <v>823193</v>
      </c>
      <c r="M63" s="17">
        <v>81050</v>
      </c>
      <c r="N63" s="17">
        <v>-52536000</v>
      </c>
      <c r="O63" s="17">
        <v>100571</v>
      </c>
      <c r="P63" s="17">
        <v>110385</v>
      </c>
      <c r="Q63" s="17">
        <v>-9814</v>
      </c>
      <c r="R63" s="18">
        <v>-2.3692431328884014E-2</v>
      </c>
      <c r="S63" s="19">
        <v>4.5097516615052561E-10</v>
      </c>
      <c r="T63" s="19">
        <v>-4.4258702806012579E-6</v>
      </c>
      <c r="U63" s="19">
        <v>3.6551537216500102E-5</v>
      </c>
      <c r="V63" s="18">
        <v>12.659832557041645</v>
      </c>
      <c r="W63" s="18">
        <v>0.4693591819781307</v>
      </c>
      <c r="X63" s="18">
        <v>0.87945698285231511</v>
      </c>
      <c r="Y63" s="18">
        <v>3.2403487618245741E-2</v>
      </c>
      <c r="Z63" s="20">
        <v>65</v>
      </c>
      <c r="AA63" s="25">
        <v>4.1743872698956368</v>
      </c>
      <c r="AB63" s="21">
        <v>1.1315999999999999</v>
      </c>
      <c r="AC63">
        <v>21.739428328780509</v>
      </c>
      <c r="AD63">
        <v>5</v>
      </c>
      <c r="AE63">
        <v>1.6094379124341003</v>
      </c>
      <c r="AF63">
        <v>0</v>
      </c>
      <c r="AG63">
        <v>3.0172185178208501E-2</v>
      </c>
      <c r="AH63">
        <v>0.174652902098616</v>
      </c>
    </row>
    <row r="64" spans="1:34" s="5" customFormat="1" ht="12.5" x14ac:dyDescent="0.25">
      <c r="A64" s="16">
        <v>2015</v>
      </c>
      <c r="B64" s="16" t="s">
        <v>5</v>
      </c>
      <c r="C64" s="17">
        <v>2216337000</v>
      </c>
      <c r="D64" s="17">
        <v>1878106000</v>
      </c>
      <c r="E64" s="17">
        <v>338231000</v>
      </c>
      <c r="F64" s="17">
        <v>47642000</v>
      </c>
      <c r="G64" s="17">
        <v>58408000</v>
      </c>
      <c r="H64" s="17">
        <v>2338858000</v>
      </c>
      <c r="I64" s="17">
        <v>383647</v>
      </c>
      <c r="J64" s="17">
        <v>314844</v>
      </c>
      <c r="K64" s="17">
        <v>824153</v>
      </c>
      <c r="L64" s="17">
        <v>933578</v>
      </c>
      <c r="M64" s="17">
        <v>80145</v>
      </c>
      <c r="N64" s="17">
        <v>-10766000</v>
      </c>
      <c r="O64" s="17">
        <v>68803</v>
      </c>
      <c r="P64" s="17">
        <v>-109425</v>
      </c>
      <c r="Q64" s="17">
        <v>-40622</v>
      </c>
      <c r="R64" s="18">
        <v>-4.6031011715974204E-3</v>
      </c>
      <c r="S64" s="19">
        <v>4.2755909080414456E-10</v>
      </c>
      <c r="T64" s="19">
        <v>-1.7368305386645961E-5</v>
      </c>
      <c r="U64" s="19">
        <v>3.4266723332498167E-5</v>
      </c>
      <c r="V64" s="18">
        <v>12.857478137947973</v>
      </c>
      <c r="W64" s="18">
        <v>0.2185304468244591</v>
      </c>
      <c r="X64" s="18">
        <v>0.84739189031270967</v>
      </c>
      <c r="Y64" s="18">
        <v>3.2269232753352986E-2</v>
      </c>
      <c r="Z64" s="20">
        <v>66</v>
      </c>
      <c r="AA64" s="25">
        <v>4.1896547420264252</v>
      </c>
      <c r="AB64" s="21">
        <v>1.1315999999999999</v>
      </c>
      <c r="AC64">
        <v>21.73581974892128</v>
      </c>
      <c r="AD64">
        <v>6</v>
      </c>
      <c r="AE64">
        <v>1.791759469228055</v>
      </c>
      <c r="AF64">
        <v>1</v>
      </c>
      <c r="AG64">
        <v>1.4059755543372E-2</v>
      </c>
      <c r="AH64">
        <v>0.19374223213563899</v>
      </c>
    </row>
    <row r="65" spans="1:34" s="5" customFormat="1" ht="12.5" x14ac:dyDescent="0.25">
      <c r="A65" s="16">
        <v>2016</v>
      </c>
      <c r="B65" s="16" t="s">
        <v>5</v>
      </c>
      <c r="C65" s="17">
        <v>2539585000</v>
      </c>
      <c r="D65" s="17">
        <v>2148685000</v>
      </c>
      <c r="E65" s="17">
        <v>390900000</v>
      </c>
      <c r="F65" s="17">
        <v>47541000</v>
      </c>
      <c r="G65" s="17">
        <v>-213392000</v>
      </c>
      <c r="H65" s="17">
        <v>2216337000</v>
      </c>
      <c r="I65" s="17">
        <v>269895</v>
      </c>
      <c r="J65" s="17">
        <v>383647</v>
      </c>
      <c r="K65" s="17">
        <v>1193188</v>
      </c>
      <c r="L65" s="17">
        <v>824153</v>
      </c>
      <c r="M65" s="17">
        <v>80252</v>
      </c>
      <c r="N65" s="17">
        <v>-165851000</v>
      </c>
      <c r="O65" s="17">
        <v>-113752</v>
      </c>
      <c r="P65" s="17">
        <v>369035</v>
      </c>
      <c r="Q65" s="17">
        <v>-482787</v>
      </c>
      <c r="R65" s="18">
        <v>-7.4831129020541551E-2</v>
      </c>
      <c r="S65" s="19">
        <v>4.5119492207186902E-10</v>
      </c>
      <c r="T65" s="19">
        <v>-2.1783104284231144E-4</v>
      </c>
      <c r="U65" s="19">
        <v>3.6209294886111635E-5</v>
      </c>
      <c r="V65" s="18">
        <v>12.505788273454728</v>
      </c>
      <c r="W65" s="18">
        <v>-0.29650173206098313</v>
      </c>
      <c r="X65" s="18">
        <v>0.84607721340297726</v>
      </c>
      <c r="Y65" s="18">
        <v>2.6803482409608299E-2</v>
      </c>
      <c r="Z65" s="20">
        <v>67</v>
      </c>
      <c r="AA65" s="25">
        <v>4.2046926193909657</v>
      </c>
      <c r="AB65" s="21">
        <v>1.1315999999999999</v>
      </c>
      <c r="AC65">
        <v>21.9773051334457</v>
      </c>
      <c r="AD65">
        <v>7</v>
      </c>
      <c r="AE65">
        <v>1.9459101490553132</v>
      </c>
      <c r="AF65">
        <v>1</v>
      </c>
      <c r="AG65">
        <v>3.5073657326445398E-3</v>
      </c>
      <c r="AH65">
        <v>0.12351415700108501</v>
      </c>
    </row>
    <row r="66" spans="1:34" s="5" customFormat="1" ht="12.5" x14ac:dyDescent="0.25">
      <c r="A66" s="16">
        <v>2017</v>
      </c>
      <c r="B66" s="16" t="s">
        <v>5</v>
      </c>
      <c r="C66" s="17">
        <v>2931826000</v>
      </c>
      <c r="D66" s="17">
        <v>2529311000</v>
      </c>
      <c r="E66" s="17">
        <v>402515000</v>
      </c>
      <c r="F66" s="17">
        <v>42438000</v>
      </c>
      <c r="G66" s="17">
        <v>59151000</v>
      </c>
      <c r="H66" s="17">
        <v>2539585000</v>
      </c>
      <c r="I66" s="17">
        <v>316272</v>
      </c>
      <c r="J66" s="17">
        <v>269895</v>
      </c>
      <c r="K66" s="17">
        <v>1469512</v>
      </c>
      <c r="L66" s="17">
        <v>1193188</v>
      </c>
      <c r="M66" s="17">
        <v>89285</v>
      </c>
      <c r="N66" s="17">
        <v>-16713000</v>
      </c>
      <c r="O66" s="17">
        <v>46377</v>
      </c>
      <c r="P66" s="17">
        <v>276324</v>
      </c>
      <c r="Q66" s="17">
        <v>-229947</v>
      </c>
      <c r="R66" s="18">
        <v>-6.5809965013968819E-3</v>
      </c>
      <c r="S66" s="19">
        <v>3.9376512304175684E-10</v>
      </c>
      <c r="T66" s="19">
        <v>-9.0545108748082853E-5</v>
      </c>
      <c r="U66" s="19">
        <v>3.515731901078326E-5</v>
      </c>
      <c r="V66" s="18">
        <v>12.664357881821712</v>
      </c>
      <c r="W66" s="18">
        <v>0.17183349080197854</v>
      </c>
      <c r="X66" s="18">
        <v>0.86270842812636217</v>
      </c>
      <c r="Y66" s="18">
        <v>2.6449609949590537E-2</v>
      </c>
      <c r="Z66" s="20">
        <v>68</v>
      </c>
      <c r="AA66" s="25">
        <v>4.219507705176107</v>
      </c>
      <c r="AB66" s="21">
        <v>1.0682</v>
      </c>
      <c r="AC66">
        <v>22.126779589719689</v>
      </c>
      <c r="AD66">
        <v>8</v>
      </c>
      <c r="AE66">
        <v>2.0794415416798357</v>
      </c>
      <c r="AF66">
        <v>1</v>
      </c>
      <c r="AG66">
        <v>3.6573741285617599E-2</v>
      </c>
      <c r="AH66">
        <v>0.191764328847252</v>
      </c>
    </row>
    <row r="67" spans="1:34" s="5" customFormat="1" ht="12.5" x14ac:dyDescent="0.25">
      <c r="A67" s="16">
        <v>2018</v>
      </c>
      <c r="B67" s="16" t="s">
        <v>5</v>
      </c>
      <c r="C67" s="17">
        <v>3591305000</v>
      </c>
      <c r="D67" s="17">
        <v>3226707000</v>
      </c>
      <c r="E67" s="17">
        <v>364598000</v>
      </c>
      <c r="F67" s="17">
        <v>41047000</v>
      </c>
      <c r="G67" s="17">
        <v>488626000</v>
      </c>
      <c r="H67" s="17">
        <v>2931826000</v>
      </c>
      <c r="I67" s="17">
        <v>341504</v>
      </c>
      <c r="J67" s="17">
        <v>316272</v>
      </c>
      <c r="K67" s="17">
        <v>1229317</v>
      </c>
      <c r="L67" s="17">
        <v>1469512</v>
      </c>
      <c r="M67" s="17">
        <v>97502</v>
      </c>
      <c r="N67" s="17">
        <v>-447579000</v>
      </c>
      <c r="O67" s="17">
        <v>25232</v>
      </c>
      <c r="P67" s="17">
        <v>-240195</v>
      </c>
      <c r="Q67" s="17">
        <v>-214963</v>
      </c>
      <c r="R67" s="18">
        <v>-0.15266219755196933</v>
      </c>
      <c r="S67" s="19">
        <v>3.4108436175953141E-10</v>
      </c>
      <c r="T67" s="19">
        <v>-7.3320517656914156E-5</v>
      </c>
      <c r="U67" s="19">
        <v>3.3256407440277834E-5</v>
      </c>
      <c r="V67" s="18">
        <v>12.741114670955131</v>
      </c>
      <c r="W67" s="18">
        <v>7.9779430363737538E-2</v>
      </c>
      <c r="X67" s="18">
        <v>0.89847757291569497</v>
      </c>
      <c r="Y67" s="18">
        <v>2.3815038919958322E-2</v>
      </c>
      <c r="Z67" s="20">
        <v>69</v>
      </c>
      <c r="AA67" s="25">
        <v>4.2341065045972597</v>
      </c>
      <c r="AB67" s="21">
        <v>1.0682</v>
      </c>
      <c r="AC67">
        <v>22.30630597382574</v>
      </c>
      <c r="AD67">
        <v>9</v>
      </c>
      <c r="AE67">
        <v>2.1972245773362196</v>
      </c>
      <c r="AF67">
        <v>1</v>
      </c>
      <c r="AG67">
        <v>4.3206599912503502E-2</v>
      </c>
      <c r="AH67">
        <v>4.5683130749246598E-2</v>
      </c>
    </row>
    <row r="68" spans="1:34" s="5" customFormat="1" ht="12.5" x14ac:dyDescent="0.25">
      <c r="A68" s="16">
        <v>2019</v>
      </c>
      <c r="B68" s="16" t="s">
        <v>5</v>
      </c>
      <c r="C68" s="17">
        <v>4136493000</v>
      </c>
      <c r="D68" s="17">
        <v>3689971000</v>
      </c>
      <c r="E68" s="17">
        <v>446522000</v>
      </c>
      <c r="F68" s="17">
        <v>62750000</v>
      </c>
      <c r="G68" s="17">
        <v>-317453000</v>
      </c>
      <c r="H68" s="17">
        <v>3591305000</v>
      </c>
      <c r="I68" s="17">
        <v>406600</v>
      </c>
      <c r="J68" s="17">
        <v>341504</v>
      </c>
      <c r="K68" s="17">
        <v>1603229</v>
      </c>
      <c r="L68" s="17">
        <v>1229317</v>
      </c>
      <c r="M68" s="17">
        <v>107448</v>
      </c>
      <c r="N68" s="17">
        <v>-254703000</v>
      </c>
      <c r="O68" s="17">
        <v>65096</v>
      </c>
      <c r="P68" s="17">
        <v>373912</v>
      </c>
      <c r="Q68" s="17">
        <v>-308816</v>
      </c>
      <c r="R68" s="18">
        <v>-7.0922129977821435E-2</v>
      </c>
      <c r="S68" s="19">
        <v>2.7845031263008853E-10</v>
      </c>
      <c r="T68" s="19">
        <v>-8.5989911745173412E-5</v>
      </c>
      <c r="U68" s="19">
        <v>2.9918929191477749E-5</v>
      </c>
      <c r="V68" s="18">
        <v>12.915585180176384</v>
      </c>
      <c r="W68" s="18">
        <v>0.19061562968515741</v>
      </c>
      <c r="X68" s="18">
        <v>0.89205300238632101</v>
      </c>
      <c r="Y68" s="18">
        <v>2.2929658754058672E-2</v>
      </c>
      <c r="Z68" s="20">
        <v>70</v>
      </c>
      <c r="AA68" s="25">
        <v>4.2484952420493594</v>
      </c>
      <c r="AB68" s="21">
        <v>1.0682</v>
      </c>
      <c r="AC68">
        <v>22.44675574446449</v>
      </c>
      <c r="AD68">
        <v>10</v>
      </c>
      <c r="AE68">
        <v>2.3025850929940459</v>
      </c>
      <c r="AF68">
        <v>1</v>
      </c>
      <c r="AG68">
        <v>1.2172418516769101E-2</v>
      </c>
      <c r="AH68">
        <v>0.127423196515874</v>
      </c>
    </row>
    <row r="69" spans="1:34" s="5" customFormat="1" ht="12.5" x14ac:dyDescent="0.25">
      <c r="A69" s="16">
        <v>2020</v>
      </c>
      <c r="B69" s="16" t="s">
        <v>5</v>
      </c>
      <c r="C69" s="17">
        <v>5207833000</v>
      </c>
      <c r="D69" s="17">
        <v>4729893000</v>
      </c>
      <c r="E69" s="17">
        <v>477940000</v>
      </c>
      <c r="F69" s="17">
        <v>56911000</v>
      </c>
      <c r="G69" s="17">
        <v>735114000</v>
      </c>
      <c r="H69" s="17">
        <v>4136493000</v>
      </c>
      <c r="I69" s="17">
        <v>381476</v>
      </c>
      <c r="J69" s="17">
        <v>406600</v>
      </c>
      <c r="K69" s="17">
        <v>1877594</v>
      </c>
      <c r="L69" s="17">
        <v>1603229</v>
      </c>
      <c r="M69" s="17">
        <v>123435</v>
      </c>
      <c r="N69" s="17">
        <v>-678203000</v>
      </c>
      <c r="O69" s="17">
        <v>-25124</v>
      </c>
      <c r="P69" s="17">
        <v>274365</v>
      </c>
      <c r="Q69" s="17">
        <v>-299489</v>
      </c>
      <c r="R69" s="18">
        <v>-0.16395603715514567</v>
      </c>
      <c r="S69" s="19">
        <v>2.4175068107210626E-10</v>
      </c>
      <c r="T69" s="19">
        <v>-7.2401669723604035E-5</v>
      </c>
      <c r="U69" s="19">
        <v>2.9840495318135434E-5</v>
      </c>
      <c r="V69" s="18">
        <v>12.851803218160262</v>
      </c>
      <c r="W69" s="18">
        <v>-6.1790457452041321E-2</v>
      </c>
      <c r="X69" s="18">
        <v>0.90822670389008253</v>
      </c>
      <c r="Y69" s="18">
        <v>1.9900155625241948E-2</v>
      </c>
      <c r="Z69" s="20">
        <v>71</v>
      </c>
      <c r="AA69" s="25">
        <v>4.2626798770413155</v>
      </c>
      <c r="AB69" s="21">
        <v>1.0900000000000001</v>
      </c>
      <c r="AC69">
        <v>22.764223793727169</v>
      </c>
      <c r="AD69">
        <v>1</v>
      </c>
      <c r="AE69">
        <v>0</v>
      </c>
      <c r="AF69">
        <v>0</v>
      </c>
      <c r="AG69">
        <v>4.3542238883137498E-2</v>
      </c>
      <c r="AH69">
        <v>3.4389291495500199E-2</v>
      </c>
    </row>
    <row r="70" spans="1:34" s="5" customFormat="1" ht="12.5" x14ac:dyDescent="0.25">
      <c r="A70" s="16">
        <v>2021</v>
      </c>
      <c r="B70" s="16" t="s">
        <v>5</v>
      </c>
      <c r="C70" s="17">
        <v>5574976000</v>
      </c>
      <c r="D70" s="17">
        <v>5073375000</v>
      </c>
      <c r="E70" s="17">
        <v>501601000</v>
      </c>
      <c r="F70" s="17">
        <v>58669000</v>
      </c>
      <c r="G70" s="17">
        <v>671618000</v>
      </c>
      <c r="H70" s="17">
        <v>5207833000</v>
      </c>
      <c r="I70" s="17">
        <v>381493</v>
      </c>
      <c r="J70" s="17">
        <v>381476</v>
      </c>
      <c r="K70" s="17">
        <v>1968226</v>
      </c>
      <c r="L70" s="17">
        <v>1877594</v>
      </c>
      <c r="M70" s="17">
        <v>141581</v>
      </c>
      <c r="N70" s="17">
        <v>-612949000</v>
      </c>
      <c r="O70" s="17">
        <v>17</v>
      </c>
      <c r="P70" s="17">
        <v>90632</v>
      </c>
      <c r="Q70" s="17">
        <v>-90615</v>
      </c>
      <c r="R70" s="18">
        <v>-0.11769751449403236</v>
      </c>
      <c r="S70" s="19">
        <v>1.9201844606000231E-10</v>
      </c>
      <c r="T70" s="19">
        <v>-1.739975148972711E-5</v>
      </c>
      <c r="U70" s="19">
        <v>2.7186163611621186E-5</v>
      </c>
      <c r="V70" s="18">
        <v>12.851847780914458</v>
      </c>
      <c r="W70" s="18">
        <v>4.4563747129570403E-5</v>
      </c>
      <c r="X70" s="18">
        <v>0.91002633912684106</v>
      </c>
      <c r="Y70" s="18">
        <v>2.0853573183904406E-2</v>
      </c>
      <c r="Z70" s="20">
        <v>72</v>
      </c>
      <c r="AA70" s="25">
        <v>4.2766661190160553</v>
      </c>
      <c r="AB70" s="21">
        <v>1.0900000000000001</v>
      </c>
      <c r="AC70">
        <v>22.86818116539154</v>
      </c>
      <c r="AD70">
        <v>2</v>
      </c>
      <c r="AE70">
        <v>0.69314718055994529</v>
      </c>
      <c r="AF70">
        <v>0</v>
      </c>
      <c r="AG70">
        <v>4.9084427187689399E-2</v>
      </c>
      <c r="AH70">
        <v>8.0647819247231606E-2</v>
      </c>
    </row>
    <row r="71" spans="1:34" s="5" customFormat="1" ht="12.5" x14ac:dyDescent="0.25">
      <c r="A71" s="16">
        <v>2022</v>
      </c>
      <c r="B71" s="16" t="s">
        <v>5</v>
      </c>
      <c r="C71" s="17">
        <v>7361044000</v>
      </c>
      <c r="D71" s="17">
        <v>6775851000</v>
      </c>
      <c r="E71" s="17">
        <v>585193000</v>
      </c>
      <c r="F71" s="17">
        <v>133696000</v>
      </c>
      <c r="G71" s="17">
        <v>1063228000</v>
      </c>
      <c r="H71" s="17">
        <v>5574976000</v>
      </c>
      <c r="I71" s="17">
        <v>528519</v>
      </c>
      <c r="J71" s="17">
        <v>381493</v>
      </c>
      <c r="K71" s="17">
        <v>2354850</v>
      </c>
      <c r="L71" s="17">
        <v>1968226</v>
      </c>
      <c r="M71" s="17">
        <v>163841</v>
      </c>
      <c r="N71" s="17">
        <v>-929532000</v>
      </c>
      <c r="O71" s="17">
        <v>147026</v>
      </c>
      <c r="P71" s="17">
        <v>386624</v>
      </c>
      <c r="Q71" s="17">
        <v>-239598</v>
      </c>
      <c r="R71" s="18">
        <v>-0.16673291508340127</v>
      </c>
      <c r="S71" s="19">
        <v>1.7937296949798529E-10</v>
      </c>
      <c r="T71" s="19">
        <v>-4.297740474577828E-5</v>
      </c>
      <c r="U71" s="19">
        <v>2.9388646695519408E-5</v>
      </c>
      <c r="V71" s="18">
        <v>13.177834034450377</v>
      </c>
      <c r="W71" s="18">
        <v>0.38539632444107758</v>
      </c>
      <c r="X71" s="18">
        <v>0.9205013582312509</v>
      </c>
      <c r="Y71" s="18">
        <v>1.9900155625241948E-2</v>
      </c>
      <c r="Z71" s="20">
        <v>73</v>
      </c>
      <c r="AA71" s="25">
        <v>4.290459441148391</v>
      </c>
      <c r="AB71" s="21">
        <v>1.0900000000000001</v>
      </c>
      <c r="AC71">
        <v>23.108128461610448</v>
      </c>
      <c r="AD71">
        <v>3</v>
      </c>
      <c r="AE71">
        <v>1.0986122886681098</v>
      </c>
      <c r="AF71">
        <v>0</v>
      </c>
      <c r="AG71">
        <v>5.1290492532712097E-2</v>
      </c>
      <c r="AH71">
        <v>3.1612416988951703E-2</v>
      </c>
    </row>
    <row r="72" spans="1:34" s="5" customFormat="1" ht="12.5" x14ac:dyDescent="0.25">
      <c r="A72" s="16">
        <v>2013</v>
      </c>
      <c r="B72" s="16" t="s">
        <v>10</v>
      </c>
      <c r="C72" s="17">
        <v>882097000</v>
      </c>
      <c r="D72" s="17">
        <v>694313000</v>
      </c>
      <c r="E72" s="17">
        <v>187784000</v>
      </c>
      <c r="F72" s="17">
        <v>5121000</v>
      </c>
      <c r="G72" s="17">
        <v>-56377000</v>
      </c>
      <c r="H72" s="17">
        <v>886468000</v>
      </c>
      <c r="I72" s="17">
        <v>103602000</v>
      </c>
      <c r="J72" s="17">
        <v>96484000</v>
      </c>
      <c r="K72" s="17">
        <v>210118000</v>
      </c>
      <c r="L72" s="17">
        <v>136980000</v>
      </c>
      <c r="M72" s="17">
        <v>43351000</v>
      </c>
      <c r="N72" s="17">
        <v>-51256000</v>
      </c>
      <c r="O72" s="17">
        <v>7118000</v>
      </c>
      <c r="P72" s="17">
        <v>73138000</v>
      </c>
      <c r="Q72" s="17">
        <v>-66020000</v>
      </c>
      <c r="R72" s="18">
        <v>-5.7820474061105423E-2</v>
      </c>
      <c r="S72" s="19">
        <v>1.1280723049224564E-9</v>
      </c>
      <c r="T72" s="19">
        <v>-7.4475333570980559E-2</v>
      </c>
      <c r="U72" s="19">
        <v>4.8903062490693407E-2</v>
      </c>
      <c r="V72" s="18">
        <v>18.456067192622623</v>
      </c>
      <c r="W72" s="18">
        <v>7.3773889971394224E-2</v>
      </c>
      <c r="X72" s="18">
        <v>0.78711638289213093</v>
      </c>
      <c r="Y72" s="18">
        <v>4.5401872439556581E-2</v>
      </c>
      <c r="Z72" s="20">
        <v>42</v>
      </c>
      <c r="AA72" s="25">
        <v>3.7376696182833684</v>
      </c>
      <c r="AB72" s="21">
        <v>3.8388</v>
      </c>
      <c r="AC72">
        <v>20.726018046141789</v>
      </c>
      <c r="AD72">
        <v>4</v>
      </c>
      <c r="AE72">
        <v>1.3862943611198906</v>
      </c>
      <c r="AF72">
        <v>0</v>
      </c>
      <c r="AG72">
        <v>9.4212298215171197E-3</v>
      </c>
      <c r="AH72">
        <v>4.4173184896296597E-2</v>
      </c>
    </row>
    <row r="73" spans="1:34" s="5" customFormat="1" ht="12.5" x14ac:dyDescent="0.25">
      <c r="A73" s="16">
        <v>2014</v>
      </c>
      <c r="B73" s="16" t="s">
        <v>10</v>
      </c>
      <c r="C73" s="17">
        <v>920936000</v>
      </c>
      <c r="D73" s="17">
        <v>714962000</v>
      </c>
      <c r="E73" s="17">
        <v>205974000</v>
      </c>
      <c r="F73" s="17">
        <v>20486000</v>
      </c>
      <c r="G73" s="17">
        <v>-121957000</v>
      </c>
      <c r="H73" s="17">
        <v>882097000</v>
      </c>
      <c r="I73" s="17">
        <v>109821000</v>
      </c>
      <c r="J73" s="17">
        <v>103602000</v>
      </c>
      <c r="K73" s="17">
        <v>302372000</v>
      </c>
      <c r="L73" s="17">
        <v>210118000</v>
      </c>
      <c r="M73" s="17">
        <v>49428000</v>
      </c>
      <c r="N73" s="17">
        <v>-101471000</v>
      </c>
      <c r="O73" s="17">
        <v>6219000</v>
      </c>
      <c r="P73" s="17">
        <v>92254000</v>
      </c>
      <c r="Q73" s="17">
        <v>-86035000</v>
      </c>
      <c r="R73" s="18">
        <v>-0.11503383414749171</v>
      </c>
      <c r="S73" s="19">
        <v>1.1336621709403841E-9</v>
      </c>
      <c r="T73" s="19">
        <v>-9.7534624876855949E-2</v>
      </c>
      <c r="U73" s="19">
        <v>5.6034653785241306E-2</v>
      </c>
      <c r="V73" s="18">
        <v>18.514362325583051</v>
      </c>
      <c r="W73" s="18">
        <v>6.0027798691144961E-2</v>
      </c>
      <c r="X73" s="18">
        <v>0.77634276431804161</v>
      </c>
      <c r="Y73" s="18">
        <v>4.9071650892774862E-2</v>
      </c>
      <c r="Z73" s="20">
        <v>43</v>
      </c>
      <c r="AA73" s="25">
        <v>3.7612001156935624</v>
      </c>
      <c r="AB73" s="21">
        <v>3.8388</v>
      </c>
      <c r="AC73">
        <v>20.732381165817088</v>
      </c>
      <c r="AD73">
        <v>5</v>
      </c>
      <c r="AE73">
        <v>1.6094379124341003</v>
      </c>
      <c r="AF73">
        <v>0</v>
      </c>
      <c r="AG73">
        <v>7.5083353379112403E-3</v>
      </c>
      <c r="AH73">
        <v>0.10610134562590599</v>
      </c>
    </row>
    <row r="74" spans="1:34" s="5" customFormat="1" ht="12.5" x14ac:dyDescent="0.25">
      <c r="A74" s="16">
        <v>2015</v>
      </c>
      <c r="B74" s="16" t="s">
        <v>10</v>
      </c>
      <c r="C74" s="17">
        <v>998137000</v>
      </c>
      <c r="D74" s="17">
        <v>767469000</v>
      </c>
      <c r="E74" s="17">
        <v>230668000</v>
      </c>
      <c r="F74" s="17">
        <v>17721000</v>
      </c>
      <c r="G74" s="17">
        <v>10975000</v>
      </c>
      <c r="H74" s="17">
        <v>920936000</v>
      </c>
      <c r="I74" s="17">
        <v>118366000</v>
      </c>
      <c r="J74" s="17">
        <v>109821000</v>
      </c>
      <c r="K74" s="17">
        <v>3489849000</v>
      </c>
      <c r="L74" s="17">
        <v>302372000</v>
      </c>
      <c r="M74" s="17">
        <v>49690000</v>
      </c>
      <c r="N74" s="17">
        <v>6746000</v>
      </c>
      <c r="O74" s="17">
        <v>8545000</v>
      </c>
      <c r="P74" s="17">
        <v>3187477000</v>
      </c>
      <c r="Q74" s="17">
        <v>-3178932000</v>
      </c>
      <c r="R74" s="18">
        <v>7.3251561454867661E-3</v>
      </c>
      <c r="S74" s="19">
        <v>1.0858517855746762E-9</v>
      </c>
      <c r="T74" s="19">
        <v>-3.4518489884204766</v>
      </c>
      <c r="U74" s="19">
        <v>5.3955975225205663E-2</v>
      </c>
      <c r="V74" s="18">
        <v>18.58929207701307</v>
      </c>
      <c r="W74" s="18">
        <v>7.7808433723969006E-2</v>
      </c>
      <c r="X74" s="18">
        <v>0.76890146342636334</v>
      </c>
      <c r="Y74" s="18">
        <v>4.754263094951533E-2</v>
      </c>
      <c r="Z74" s="20">
        <v>44</v>
      </c>
      <c r="AA74" s="25">
        <v>3.784189633918261</v>
      </c>
      <c r="AB74" s="21">
        <v>3.8388</v>
      </c>
      <c r="AC74">
        <v>20.769091611651831</v>
      </c>
      <c r="AD74">
        <v>6</v>
      </c>
      <c r="AE74">
        <v>1.791759469228055</v>
      </c>
      <c r="AF74">
        <v>1</v>
      </c>
      <c r="AG74">
        <v>1.04686318135183E-2</v>
      </c>
      <c r="AH74">
        <v>11.8892621559802</v>
      </c>
    </row>
    <row r="75" spans="1:34" s="5" customFormat="1" ht="12.5" x14ac:dyDescent="0.25">
      <c r="A75" s="16">
        <v>2016</v>
      </c>
      <c r="B75" s="16" t="s">
        <v>10</v>
      </c>
      <c r="C75" s="17">
        <v>1123483000</v>
      </c>
      <c r="D75" s="17">
        <v>872144000</v>
      </c>
      <c r="E75" s="17">
        <v>251339000</v>
      </c>
      <c r="F75" s="17">
        <v>15885000</v>
      </c>
      <c r="G75" s="17">
        <v>-69986000</v>
      </c>
      <c r="H75" s="17">
        <v>998137000</v>
      </c>
      <c r="I75" s="17">
        <v>123455000</v>
      </c>
      <c r="J75" s="17">
        <v>118366000</v>
      </c>
      <c r="K75" s="17">
        <v>48989000</v>
      </c>
      <c r="L75" s="17">
        <v>3489849000</v>
      </c>
      <c r="M75" s="17">
        <v>52567000</v>
      </c>
      <c r="N75" s="17">
        <v>-54101000</v>
      </c>
      <c r="O75" s="17">
        <v>5089000</v>
      </c>
      <c r="P75" s="17">
        <v>-3440860000</v>
      </c>
      <c r="Q75" s="17">
        <v>-3435771000</v>
      </c>
      <c r="R75" s="18">
        <v>-5.4201978285545974E-2</v>
      </c>
      <c r="S75" s="19">
        <v>1.0018664772471113E-9</v>
      </c>
      <c r="T75" s="19">
        <v>-3.4421837883977853</v>
      </c>
      <c r="U75" s="19">
        <v>5.2665115109448907E-2</v>
      </c>
      <c r="V75" s="18">
        <v>18.631387275162894</v>
      </c>
      <c r="W75" s="18">
        <v>4.2993765101464951E-2</v>
      </c>
      <c r="X75" s="18">
        <v>0.77628588950611621</v>
      </c>
      <c r="Y75" s="18">
        <v>4.2149563895705372E-2</v>
      </c>
      <c r="Z75" s="20">
        <v>45</v>
      </c>
      <c r="AA75" s="25">
        <v>3.8066624897703196</v>
      </c>
      <c r="AB75" s="21">
        <v>3.8388</v>
      </c>
      <c r="AC75">
        <v>20.948552689748141</v>
      </c>
      <c r="AD75">
        <v>7</v>
      </c>
      <c r="AE75">
        <v>1.9459101490553132</v>
      </c>
      <c r="AF75">
        <v>1</v>
      </c>
      <c r="AG75">
        <v>9.3216141881540295E-3</v>
      </c>
      <c r="AH75">
        <v>11.884019451747299</v>
      </c>
    </row>
    <row r="76" spans="1:34" s="5" customFormat="1" ht="12.5" x14ac:dyDescent="0.25">
      <c r="A76" s="16">
        <v>2017</v>
      </c>
      <c r="B76" s="16" t="s">
        <v>10</v>
      </c>
      <c r="C76" s="17">
        <v>1334921000</v>
      </c>
      <c r="D76" s="17">
        <v>1013533000</v>
      </c>
      <c r="E76" s="17">
        <v>321388000</v>
      </c>
      <c r="F76" s="17">
        <v>12839000</v>
      </c>
      <c r="G76" s="17">
        <v>68160000</v>
      </c>
      <c r="H76" s="17">
        <v>1123483000</v>
      </c>
      <c r="I76" s="17">
        <v>157556000</v>
      </c>
      <c r="J76" s="17">
        <v>123455000</v>
      </c>
      <c r="K76" s="17">
        <v>488555000</v>
      </c>
      <c r="L76" s="17">
        <v>48989000</v>
      </c>
      <c r="M76" s="17">
        <v>55801000</v>
      </c>
      <c r="N76" s="17">
        <v>-55321000</v>
      </c>
      <c r="O76" s="17">
        <v>34101000</v>
      </c>
      <c r="P76" s="17">
        <v>439566000</v>
      </c>
      <c r="Q76" s="17">
        <v>-405465000</v>
      </c>
      <c r="R76" s="18">
        <v>-4.9240620463326994E-2</v>
      </c>
      <c r="S76" s="19">
        <v>8.9008912462404859E-10</v>
      </c>
      <c r="T76" s="19">
        <v>-0.36089998691568986</v>
      </c>
      <c r="U76" s="19">
        <v>4.9667863243146537E-2</v>
      </c>
      <c r="V76" s="18">
        <v>18.875291508590621</v>
      </c>
      <c r="W76" s="18">
        <v>0.2762221052205257</v>
      </c>
      <c r="X76" s="18">
        <v>0.75924567820867306</v>
      </c>
      <c r="Y76" s="18">
        <v>3.8464075188589804E-2</v>
      </c>
      <c r="Z76" s="20">
        <v>46</v>
      </c>
      <c r="AA76" s="25">
        <v>3.8286413964890951</v>
      </c>
      <c r="AB76" s="21">
        <v>3.8388</v>
      </c>
      <c r="AC76">
        <v>21.098642802737292</v>
      </c>
      <c r="AD76">
        <v>8</v>
      </c>
      <c r="AE76">
        <v>2.0794415416798357</v>
      </c>
      <c r="AF76">
        <v>1</v>
      </c>
      <c r="AG76">
        <v>-7.0919035241422098E-3</v>
      </c>
      <c r="AH76">
        <v>0.160370943661926</v>
      </c>
    </row>
    <row r="77" spans="1:34" s="5" customFormat="1" ht="12.5" x14ac:dyDescent="0.25">
      <c r="A77" s="16">
        <v>2018</v>
      </c>
      <c r="B77" s="16" t="s">
        <v>10</v>
      </c>
      <c r="C77" s="17">
        <v>1324297000</v>
      </c>
      <c r="D77" s="17">
        <v>1124210000</v>
      </c>
      <c r="E77" s="17">
        <v>200087000</v>
      </c>
      <c r="F77" s="17">
        <v>18438000</v>
      </c>
      <c r="G77" s="17">
        <v>37394000</v>
      </c>
      <c r="H77" s="17">
        <v>1334921000</v>
      </c>
      <c r="I77" s="17">
        <v>142534000</v>
      </c>
      <c r="J77" s="17">
        <v>157556000</v>
      </c>
      <c r="K77" s="17">
        <v>428037000</v>
      </c>
      <c r="L77" s="17">
        <v>488555000</v>
      </c>
      <c r="M77" s="17">
        <v>59830000</v>
      </c>
      <c r="N77" s="17">
        <v>-18956000</v>
      </c>
      <c r="O77" s="17">
        <v>-15022000</v>
      </c>
      <c r="P77" s="17">
        <v>-60518000</v>
      </c>
      <c r="Q77" s="17">
        <v>-75540000</v>
      </c>
      <c r="R77" s="18">
        <v>-1.4200091241354358E-2</v>
      </c>
      <c r="S77" s="19">
        <v>7.4910799964941748E-10</v>
      </c>
      <c r="T77" s="19">
        <v>-5.6587618293516995E-2</v>
      </c>
      <c r="U77" s="19">
        <v>4.4819131619024649E-2</v>
      </c>
      <c r="V77" s="18">
        <v>18.775091125704591</v>
      </c>
      <c r="W77" s="18">
        <v>-9.5343877732361831E-2</v>
      </c>
      <c r="X77" s="18">
        <v>0.84891078058773828</v>
      </c>
      <c r="Y77" s="18">
        <v>4.09561583159022E-2</v>
      </c>
      <c r="Z77" s="20">
        <v>47</v>
      </c>
      <c r="AA77" s="25">
        <v>3.8501476017100584</v>
      </c>
      <c r="AB77" s="21">
        <v>3.8388</v>
      </c>
      <c r="AC77">
        <v>21.104341253245739</v>
      </c>
      <c r="AD77">
        <v>9</v>
      </c>
      <c r="AE77">
        <v>2.1972245773362196</v>
      </c>
      <c r="AF77">
        <v>1</v>
      </c>
      <c r="AG77">
        <v>3.26058029034281E-3</v>
      </c>
      <c r="AH77">
        <v>2.1743696517157601E-3</v>
      </c>
    </row>
    <row r="78" spans="1:34" s="5" customFormat="1" ht="12.5" x14ac:dyDescent="0.25">
      <c r="A78" s="16">
        <v>2019</v>
      </c>
      <c r="B78" s="16" t="s">
        <v>10</v>
      </c>
      <c r="C78" s="17">
        <v>1711739000</v>
      </c>
      <c r="D78" s="17">
        <v>1480547000</v>
      </c>
      <c r="E78" s="17">
        <v>231192000</v>
      </c>
      <c r="F78" s="17">
        <v>24375000</v>
      </c>
      <c r="G78" s="17">
        <v>207318000</v>
      </c>
      <c r="H78" s="17">
        <v>1324297000</v>
      </c>
      <c r="I78" s="17">
        <v>159861000</v>
      </c>
      <c r="J78" s="17">
        <v>142534000</v>
      </c>
      <c r="K78" s="17">
        <v>550613000</v>
      </c>
      <c r="L78" s="17">
        <v>428037000</v>
      </c>
      <c r="M78" s="17">
        <v>57934000</v>
      </c>
      <c r="N78" s="17">
        <v>-182943000</v>
      </c>
      <c r="O78" s="17">
        <v>17327000</v>
      </c>
      <c r="P78" s="17">
        <v>122576000</v>
      </c>
      <c r="Q78" s="17">
        <v>-105249000</v>
      </c>
      <c r="R78" s="18">
        <v>-0.13814348291961698</v>
      </c>
      <c r="S78" s="19">
        <v>7.5511762089621889E-10</v>
      </c>
      <c r="T78" s="19">
        <v>-7.9475374481706149E-2</v>
      </c>
      <c r="U78" s="19">
        <v>4.3746984249001544E-2</v>
      </c>
      <c r="V78" s="18">
        <v>18.88981524561612</v>
      </c>
      <c r="W78" s="18">
        <v>0.12156397771759721</v>
      </c>
      <c r="X78" s="18">
        <v>0.86493735318293263</v>
      </c>
      <c r="Y78" s="18">
        <v>3.0961991335470899E-2</v>
      </c>
      <c r="Z78" s="20">
        <v>48</v>
      </c>
      <c r="AA78" s="25">
        <v>3.8712010109078911</v>
      </c>
      <c r="AB78" s="21">
        <v>3.8388</v>
      </c>
      <c r="AC78">
        <v>21.350396604824869</v>
      </c>
      <c r="AD78">
        <v>10</v>
      </c>
      <c r="AE78">
        <v>2.3025850929940459</v>
      </c>
      <c r="AF78">
        <v>1</v>
      </c>
      <c r="AG78">
        <v>1.0101498358874399E-2</v>
      </c>
      <c r="AH78">
        <v>0.12478824270322</v>
      </c>
    </row>
    <row r="79" spans="1:34" s="5" customFormat="1" ht="12.5" x14ac:dyDescent="0.25">
      <c r="A79" s="16">
        <v>2020</v>
      </c>
      <c r="B79" s="16" t="s">
        <v>10</v>
      </c>
      <c r="C79" s="17">
        <v>2073758000</v>
      </c>
      <c r="D79" s="17">
        <v>1826237000</v>
      </c>
      <c r="E79" s="17">
        <v>247521000</v>
      </c>
      <c r="F79" s="17">
        <v>24653000</v>
      </c>
      <c r="G79" s="17">
        <v>-35912000</v>
      </c>
      <c r="H79" s="17">
        <v>1711739000</v>
      </c>
      <c r="I79" s="17">
        <v>156885000</v>
      </c>
      <c r="J79" s="17">
        <v>159861000</v>
      </c>
      <c r="K79" s="17">
        <v>692803000</v>
      </c>
      <c r="L79" s="17">
        <v>550613000</v>
      </c>
      <c r="M79" s="17">
        <v>57342000</v>
      </c>
      <c r="N79" s="17">
        <v>-11259000</v>
      </c>
      <c r="O79" s="17">
        <v>-2976000</v>
      </c>
      <c r="P79" s="17">
        <v>142190000</v>
      </c>
      <c r="Q79" s="17">
        <v>-145166000</v>
      </c>
      <c r="R79" s="18">
        <v>-6.5775214562500475E-3</v>
      </c>
      <c r="S79" s="19">
        <v>5.8420121291855823E-10</v>
      </c>
      <c r="T79" s="19">
        <v>-8.4806153274535431E-2</v>
      </c>
      <c r="U79" s="19">
        <v>3.3499265951175965E-2</v>
      </c>
      <c r="V79" s="18">
        <v>18.871023610838616</v>
      </c>
      <c r="W79" s="18">
        <v>-1.8616172800120106E-2</v>
      </c>
      <c r="X79" s="18">
        <v>0.88064132844816034</v>
      </c>
      <c r="Y79" s="18">
        <v>2.6181341526755046E-2</v>
      </c>
      <c r="Z79" s="20">
        <v>49</v>
      </c>
      <c r="AA79" s="25">
        <v>3.8918202981106265</v>
      </c>
      <c r="AB79" s="21">
        <v>3.8388</v>
      </c>
      <c r="AC79">
        <v>21.50763576421685</v>
      </c>
      <c r="AD79">
        <v>1</v>
      </c>
      <c r="AE79">
        <v>0</v>
      </c>
      <c r="AF79">
        <v>0</v>
      </c>
      <c r="AG79" s="26">
        <v>6.1353665752947705E-5</v>
      </c>
      <c r="AH79">
        <v>6.6935680875446898E-3</v>
      </c>
    </row>
    <row r="80" spans="1:34" s="5" customFormat="1" ht="12.5" x14ac:dyDescent="0.25">
      <c r="A80" s="16">
        <v>2021</v>
      </c>
      <c r="B80" s="16" t="s">
        <v>10</v>
      </c>
      <c r="C80" s="17">
        <v>2567441000</v>
      </c>
      <c r="D80" s="17">
        <v>2315954000</v>
      </c>
      <c r="E80" s="17">
        <v>251487000</v>
      </c>
      <c r="F80" s="17">
        <v>19180000</v>
      </c>
      <c r="G80" s="17">
        <v>290088000</v>
      </c>
      <c r="H80" s="17">
        <v>2073758000</v>
      </c>
      <c r="I80" s="17">
        <v>160656000</v>
      </c>
      <c r="J80" s="17">
        <v>156885000</v>
      </c>
      <c r="K80" s="17">
        <v>868840000</v>
      </c>
      <c r="L80" s="17">
        <v>692803000</v>
      </c>
      <c r="M80" s="17">
        <v>57653000</v>
      </c>
      <c r="N80" s="17">
        <v>-270908000</v>
      </c>
      <c r="O80" s="17">
        <v>3771000</v>
      </c>
      <c r="P80" s="17">
        <v>176037000</v>
      </c>
      <c r="Q80" s="17">
        <v>-172266000</v>
      </c>
      <c r="R80" s="18">
        <v>-0.13063626517655386</v>
      </c>
      <c r="S80" s="19">
        <v>4.8221634346919936E-10</v>
      </c>
      <c r="T80" s="19">
        <v>-8.3069480624065106E-2</v>
      </c>
      <c r="U80" s="19">
        <v>2.7801218850029754E-2</v>
      </c>
      <c r="V80" s="18">
        <v>18.894775991101355</v>
      </c>
      <c r="W80" s="18">
        <v>2.4036714791089014E-2</v>
      </c>
      <c r="X80" s="18">
        <v>0.90204760304131626</v>
      </c>
      <c r="Y80" s="18">
        <v>4.09561583159022E-2</v>
      </c>
      <c r="Z80" s="20">
        <v>50</v>
      </c>
      <c r="AA80" s="25">
        <v>3.912023005428146</v>
      </c>
      <c r="AB80" s="21">
        <v>3.8388</v>
      </c>
      <c r="AC80">
        <v>21.677148648778179</v>
      </c>
      <c r="AD80">
        <v>2</v>
      </c>
      <c r="AE80">
        <v>0.69314718055994529</v>
      </c>
      <c r="AF80">
        <v>0</v>
      </c>
      <c r="AG80">
        <v>1.2996125767051701E-2</v>
      </c>
      <c r="AH80">
        <v>0.11672433756096701</v>
      </c>
    </row>
    <row r="81" spans="1:34" s="5" customFormat="1" ht="12.5" x14ac:dyDescent="0.25">
      <c r="A81" s="16">
        <v>2022</v>
      </c>
      <c r="B81" s="16" t="s">
        <v>10</v>
      </c>
      <c r="C81" s="17">
        <v>2793674000</v>
      </c>
      <c r="D81" s="17">
        <v>2503824000</v>
      </c>
      <c r="E81" s="17">
        <v>289850000</v>
      </c>
      <c r="F81" s="17">
        <v>29088000</v>
      </c>
      <c r="G81" s="17">
        <v>80277000</v>
      </c>
      <c r="H81" s="17">
        <v>2567441000</v>
      </c>
      <c r="I81" s="17">
        <v>208172000</v>
      </c>
      <c r="J81" s="17">
        <v>160656000</v>
      </c>
      <c r="K81" s="17">
        <v>968888000</v>
      </c>
      <c r="L81" s="17">
        <v>868840000</v>
      </c>
      <c r="M81" s="17">
        <v>53026000</v>
      </c>
      <c r="N81" s="17">
        <v>-51189000</v>
      </c>
      <c r="O81" s="17">
        <v>47516000</v>
      </c>
      <c r="P81" s="17">
        <v>100048000</v>
      </c>
      <c r="Q81" s="17">
        <v>-52532000</v>
      </c>
      <c r="R81" s="18">
        <v>-1.9937751247253589E-2</v>
      </c>
      <c r="S81" s="19">
        <v>3.8949288415975282E-10</v>
      </c>
      <c r="T81" s="19">
        <v>-2.0460840190680136E-2</v>
      </c>
      <c r="U81" s="19">
        <v>2.0653249675455055E-2</v>
      </c>
      <c r="V81" s="18">
        <v>19.153875219029995</v>
      </c>
      <c r="W81" s="18">
        <v>0.29576237426551139</v>
      </c>
      <c r="X81" s="18">
        <v>0.89624773685118597</v>
      </c>
      <c r="Y81" s="18">
        <v>3.0961991335470899E-2</v>
      </c>
      <c r="Z81" s="20">
        <v>51</v>
      </c>
      <c r="AA81" s="25">
        <v>3.9318256327243257</v>
      </c>
      <c r="AB81" s="21">
        <v>3.8845000000000001</v>
      </c>
      <c r="AC81">
        <v>21.75136803229984</v>
      </c>
      <c r="AD81">
        <v>3</v>
      </c>
      <c r="AE81">
        <v>1.0986122886681098</v>
      </c>
      <c r="AF81">
        <v>0</v>
      </c>
      <c r="AG81">
        <v>-1.4058757752913899E-2</v>
      </c>
      <c r="AH81">
        <v>8.0242004556752705E-4</v>
      </c>
    </row>
    <row r="82" spans="1:34" s="5" customFormat="1" ht="12.5" x14ac:dyDescent="0.25">
      <c r="A82" s="16">
        <v>2013</v>
      </c>
      <c r="B82" s="16" t="s">
        <v>14</v>
      </c>
      <c r="C82" s="17">
        <v>403629290</v>
      </c>
      <c r="D82" s="17">
        <v>375416650</v>
      </c>
      <c r="E82" s="17">
        <v>28212639</v>
      </c>
      <c r="F82" s="17">
        <v>-22582339</v>
      </c>
      <c r="G82" s="17">
        <v>23788331</v>
      </c>
      <c r="H82" s="17">
        <v>395720180</v>
      </c>
      <c r="I82" s="17">
        <v>62828</v>
      </c>
      <c r="J82" s="17">
        <v>53760</v>
      </c>
      <c r="K82" s="17">
        <v>202615</v>
      </c>
      <c r="L82" s="17">
        <v>202628</v>
      </c>
      <c r="M82" s="17">
        <v>20092</v>
      </c>
      <c r="N82" s="17">
        <v>-46370670</v>
      </c>
      <c r="O82" s="17">
        <v>9068</v>
      </c>
      <c r="P82" s="17">
        <v>-13</v>
      </c>
      <c r="Q82" s="17">
        <v>9055</v>
      </c>
      <c r="R82" s="18">
        <v>-0.1171804531171496</v>
      </c>
      <c r="S82" s="19">
        <v>2.5270381712653625E-9</v>
      </c>
      <c r="T82" s="19">
        <v>2.2882330640807856E-5</v>
      </c>
      <c r="U82" s="19">
        <v>5.077325093706366E-5</v>
      </c>
      <c r="V82" s="18">
        <v>11.048156112962923</v>
      </c>
      <c r="W82" s="18">
        <v>0.16867559523809525</v>
      </c>
      <c r="X82" s="18">
        <v>0.93010259488353786</v>
      </c>
      <c r="Y82" s="18">
        <v>5.0602740656089558E-2</v>
      </c>
      <c r="Z82" s="20">
        <v>7</v>
      </c>
      <c r="AA82" s="25">
        <v>1.9459101490553132</v>
      </c>
      <c r="AB82" s="21">
        <v>1.0900000000000001</v>
      </c>
      <c r="AC82">
        <v>19.81600741566384</v>
      </c>
      <c r="AD82">
        <v>5</v>
      </c>
      <c r="AE82">
        <v>1.6094379124341003</v>
      </c>
      <c r="AF82">
        <v>0</v>
      </c>
      <c r="AG82">
        <v>6.3490949009387093E-2</v>
      </c>
      <c r="AH82">
        <v>3.8703116560129501E-2</v>
      </c>
    </row>
    <row r="83" spans="1:34" s="5" customFormat="1" ht="12.5" x14ac:dyDescent="0.25">
      <c r="A83" s="16">
        <v>2014</v>
      </c>
      <c r="B83" s="16" t="s">
        <v>14</v>
      </c>
      <c r="C83" s="17">
        <v>413305111</v>
      </c>
      <c r="D83" s="17">
        <v>337041116</v>
      </c>
      <c r="E83" s="17">
        <v>76263995</v>
      </c>
      <c r="F83" s="17">
        <v>10692376</v>
      </c>
      <c r="G83" s="17">
        <v>32248858</v>
      </c>
      <c r="H83" s="17">
        <v>403629290</v>
      </c>
      <c r="I83" s="17">
        <v>77067</v>
      </c>
      <c r="J83" s="17">
        <v>62828</v>
      </c>
      <c r="K83" s="17">
        <v>235494</v>
      </c>
      <c r="L83" s="17">
        <v>202615</v>
      </c>
      <c r="M83" s="17">
        <v>18709</v>
      </c>
      <c r="N83" s="17">
        <v>-21556482</v>
      </c>
      <c r="O83" s="17">
        <v>14239</v>
      </c>
      <c r="P83" s="17">
        <v>32879</v>
      </c>
      <c r="Q83" s="17">
        <v>-18640</v>
      </c>
      <c r="R83" s="18">
        <v>-5.3406634587891279E-2</v>
      </c>
      <c r="S83" s="19">
        <v>2.4775208954731704E-9</v>
      </c>
      <c r="T83" s="19">
        <v>-4.6180989491619895E-5</v>
      </c>
      <c r="U83" s="19">
        <v>4.6351938433407545E-5</v>
      </c>
      <c r="V83" s="18">
        <v>11.252430452362411</v>
      </c>
      <c r="W83" s="18">
        <v>0.22663462150633476</v>
      </c>
      <c r="X83" s="18">
        <v>0.81547773552696279</v>
      </c>
      <c r="Y83" s="18">
        <v>3.7682448502251512E-2</v>
      </c>
      <c r="Z83" s="20">
        <v>8</v>
      </c>
      <c r="AA83" s="25">
        <v>2.0794415416798357</v>
      </c>
      <c r="AB83" s="21">
        <v>1.0900000000000001</v>
      </c>
      <c r="AC83">
        <v>19.839696645725361</v>
      </c>
      <c r="AD83">
        <v>6</v>
      </c>
      <c r="AE83">
        <v>1.791759469228055</v>
      </c>
      <c r="AF83">
        <v>0</v>
      </c>
      <c r="AG83">
        <v>4.64026577600598E-2</v>
      </c>
      <c r="AH83">
        <v>2.5070700789466899E-2</v>
      </c>
    </row>
    <row r="84" spans="1:34" s="5" customFormat="1" ht="12.5" x14ac:dyDescent="0.25">
      <c r="A84" s="16">
        <v>2015</v>
      </c>
      <c r="B84" s="16" t="s">
        <v>14</v>
      </c>
      <c r="C84" s="17">
        <v>443321012</v>
      </c>
      <c r="D84" s="17">
        <v>360746481</v>
      </c>
      <c r="E84" s="17">
        <v>82574531</v>
      </c>
      <c r="F84" s="17">
        <v>4689457</v>
      </c>
      <c r="G84" s="17">
        <v>36691170</v>
      </c>
      <c r="H84" s="17">
        <v>413305111</v>
      </c>
      <c r="I84" s="17">
        <v>78174</v>
      </c>
      <c r="J84" s="17">
        <v>77067</v>
      </c>
      <c r="K84" s="17">
        <v>264722</v>
      </c>
      <c r="L84" s="17">
        <v>235494</v>
      </c>
      <c r="M84" s="17">
        <v>18968</v>
      </c>
      <c r="N84" s="17">
        <v>-32001713</v>
      </c>
      <c r="O84" s="17">
        <v>1107</v>
      </c>
      <c r="P84" s="17">
        <v>29228</v>
      </c>
      <c r="Q84" s="17">
        <v>-28121</v>
      </c>
      <c r="R84" s="18">
        <v>-7.7428786018569215E-2</v>
      </c>
      <c r="S84" s="19">
        <v>2.4195200431479782E-9</v>
      </c>
      <c r="T84" s="19">
        <v>-6.8039323133364295E-5</v>
      </c>
      <c r="U84" s="19">
        <v>4.5893456178430855E-5</v>
      </c>
      <c r="V84" s="18">
        <v>11.266692390430986</v>
      </c>
      <c r="W84" s="18">
        <v>1.4364124722643933E-2</v>
      </c>
      <c r="X84" s="18">
        <v>0.8137364826731921</v>
      </c>
      <c r="Y84" s="18">
        <v>3.6707515506650329E-2</v>
      </c>
      <c r="Z84" s="20">
        <v>9</v>
      </c>
      <c r="AA84" s="25">
        <v>2.1972245773362196</v>
      </c>
      <c r="AB84" s="21">
        <v>1.0900000000000001</v>
      </c>
      <c r="AC84">
        <v>19.909804697644539</v>
      </c>
      <c r="AD84">
        <v>7</v>
      </c>
      <c r="AE84">
        <v>1.9459101490553132</v>
      </c>
      <c r="AF84">
        <v>1</v>
      </c>
      <c r="AG84">
        <v>3.4141504917723199E-2</v>
      </c>
      <c r="AH84">
        <v>1.0485469044161401E-3</v>
      </c>
    </row>
    <row r="85" spans="1:34" s="5" customFormat="1" ht="12.5" x14ac:dyDescent="0.25">
      <c r="A85" s="16">
        <v>2016</v>
      </c>
      <c r="B85" s="16" t="s">
        <v>14</v>
      </c>
      <c r="C85" s="17">
        <v>492681647</v>
      </c>
      <c r="D85" s="17">
        <v>409574667</v>
      </c>
      <c r="E85" s="17">
        <v>83106980</v>
      </c>
      <c r="F85" s="17">
        <v>2183798</v>
      </c>
      <c r="G85" s="17">
        <v>36691171</v>
      </c>
      <c r="H85" s="17">
        <v>443321012</v>
      </c>
      <c r="I85" s="17">
        <v>84021</v>
      </c>
      <c r="J85" s="17">
        <v>78174</v>
      </c>
      <c r="K85" s="17">
        <v>286539</v>
      </c>
      <c r="L85" s="17">
        <v>264722</v>
      </c>
      <c r="M85" s="17">
        <v>22801</v>
      </c>
      <c r="N85" s="17">
        <v>-34507373</v>
      </c>
      <c r="O85" s="17">
        <v>5847</v>
      </c>
      <c r="P85" s="17">
        <v>21817</v>
      </c>
      <c r="Q85" s="17">
        <v>-15970</v>
      </c>
      <c r="R85" s="18">
        <v>-7.7838343019933379E-2</v>
      </c>
      <c r="S85" s="19">
        <v>2.2557017892939396E-9</v>
      </c>
      <c r="T85" s="19">
        <v>-3.6023557575024214E-5</v>
      </c>
      <c r="U85" s="19">
        <v>5.1432256497691113E-5</v>
      </c>
      <c r="V85" s="18">
        <v>11.338822046580658</v>
      </c>
      <c r="W85" s="18">
        <v>7.4794688771202697E-2</v>
      </c>
      <c r="X85" s="18">
        <v>0.83131707765846619</v>
      </c>
      <c r="Y85" s="18">
        <v>4.0246956751487942E-2</v>
      </c>
      <c r="Z85" s="20">
        <v>10</v>
      </c>
      <c r="AA85" s="25">
        <v>2.3025850929940459</v>
      </c>
      <c r="AB85" s="21">
        <v>1.3608</v>
      </c>
      <c r="AC85">
        <v>20.01537377697262</v>
      </c>
      <c r="AD85">
        <v>8</v>
      </c>
      <c r="AE85">
        <v>2.0794415416798357</v>
      </c>
      <c r="AF85">
        <v>1</v>
      </c>
      <c r="AG85">
        <v>4.0985716391938098E-2</v>
      </c>
      <c r="AH85">
        <v>6.3899269563706695E-4</v>
      </c>
    </row>
    <row r="86" spans="1:34" s="5" customFormat="1" ht="12.5" x14ac:dyDescent="0.25">
      <c r="A86" s="16">
        <v>2017</v>
      </c>
      <c r="B86" s="16" t="s">
        <v>14</v>
      </c>
      <c r="C86" s="17">
        <v>156506504</v>
      </c>
      <c r="D86" s="17">
        <v>398699659</v>
      </c>
      <c r="E86" s="17">
        <v>-242193155</v>
      </c>
      <c r="F86" s="17">
        <v>-14917938</v>
      </c>
      <c r="G86" s="17">
        <v>6744837</v>
      </c>
      <c r="H86" s="17">
        <v>492681647</v>
      </c>
      <c r="I86" s="17">
        <v>89926</v>
      </c>
      <c r="J86" s="17">
        <v>84021</v>
      </c>
      <c r="K86" s="17">
        <v>24579</v>
      </c>
      <c r="L86" s="17">
        <v>286539</v>
      </c>
      <c r="M86" s="17">
        <v>21501</v>
      </c>
      <c r="N86" s="17">
        <v>-21662775</v>
      </c>
      <c r="O86" s="17">
        <v>5905</v>
      </c>
      <c r="P86" s="17">
        <v>-261960</v>
      </c>
      <c r="Q86" s="17">
        <v>-256055</v>
      </c>
      <c r="R86" s="18">
        <v>-4.3969112979765614E-2</v>
      </c>
      <c r="S86" s="19">
        <v>2.0297082428158726E-9</v>
      </c>
      <c r="T86" s="19">
        <v>-5.1971694411421826E-4</v>
      </c>
      <c r="U86" s="19">
        <v>4.3640756928784078E-5</v>
      </c>
      <c r="V86" s="18">
        <v>11.406742388880087</v>
      </c>
      <c r="W86" s="18">
        <v>7.0280049035360212E-2</v>
      </c>
      <c r="X86" s="18">
        <v>2.5474957833062324</v>
      </c>
      <c r="Y86" s="18">
        <v>3.9181031725132986E-2</v>
      </c>
      <c r="Z86" s="20">
        <v>11</v>
      </c>
      <c r="AA86" s="25">
        <v>2.3978952727983707</v>
      </c>
      <c r="AB86" s="21">
        <v>1.3608</v>
      </c>
      <c r="AC86">
        <v>18.868608126186359</v>
      </c>
      <c r="AD86">
        <v>9</v>
      </c>
      <c r="AE86">
        <v>2.1972245773362196</v>
      </c>
      <c r="AF86">
        <v>1</v>
      </c>
      <c r="AG86">
        <v>-3.7687166705311401E-2</v>
      </c>
      <c r="AH86">
        <v>3.4507954668560901E-2</v>
      </c>
    </row>
    <row r="87" spans="1:34" s="5" customFormat="1" ht="12.5" x14ac:dyDescent="0.25">
      <c r="A87" s="16">
        <v>2018</v>
      </c>
      <c r="B87" s="16" t="s">
        <v>14</v>
      </c>
      <c r="C87" s="17">
        <v>235976190</v>
      </c>
      <c r="D87" s="17">
        <v>479663155</v>
      </c>
      <c r="E87" s="17">
        <v>-243686965</v>
      </c>
      <c r="F87" s="17">
        <v>1269434</v>
      </c>
      <c r="G87" s="17">
        <v>1480373</v>
      </c>
      <c r="H87" s="17">
        <v>156506504</v>
      </c>
      <c r="I87" s="17">
        <v>34654</v>
      </c>
      <c r="J87" s="17">
        <v>89926</v>
      </c>
      <c r="K87" s="17">
        <v>76160</v>
      </c>
      <c r="L87" s="17">
        <v>24579</v>
      </c>
      <c r="M87" s="17">
        <v>20602</v>
      </c>
      <c r="N87" s="17">
        <v>-210939</v>
      </c>
      <c r="O87" s="17">
        <v>-55272</v>
      </c>
      <c r="P87" s="17">
        <v>51581</v>
      </c>
      <c r="Q87" s="17">
        <v>-106853</v>
      </c>
      <c r="R87" s="18">
        <v>-1.3477970219052367E-3</v>
      </c>
      <c r="S87" s="19">
        <v>6.3895108154738411E-9</v>
      </c>
      <c r="T87" s="19">
        <v>-6.8273839916582638E-4</v>
      </c>
      <c r="U87" s="19">
        <v>1.3163670182039208E-4</v>
      </c>
      <c r="V87" s="18">
        <v>10.453168438070792</v>
      </c>
      <c r="W87" s="18">
        <v>-0.61463870293352307</v>
      </c>
      <c r="X87" s="18">
        <v>2.0326760721071055</v>
      </c>
      <c r="Y87" s="18">
        <v>4.4089090908097997E-2</v>
      </c>
      <c r="Z87" s="20">
        <v>12</v>
      </c>
      <c r="AA87" s="25">
        <v>2.4849066497880004</v>
      </c>
      <c r="AB87" s="21">
        <v>1.1315999999999999</v>
      </c>
      <c r="AC87">
        <v>19.27924146806965</v>
      </c>
      <c r="AD87">
        <v>10</v>
      </c>
      <c r="AE87">
        <v>2.3025850929940459</v>
      </c>
      <c r="AF87">
        <v>1</v>
      </c>
      <c r="AG87">
        <v>-3.8715188296320598E-2</v>
      </c>
      <c r="AH87">
        <v>7.7129059176695894E-2</v>
      </c>
    </row>
    <row r="88" spans="1:34" s="5" customFormat="1" ht="12.5" x14ac:dyDescent="0.25">
      <c r="A88" s="16">
        <v>2019</v>
      </c>
      <c r="B88" s="16" t="s">
        <v>14</v>
      </c>
      <c r="C88" s="17">
        <v>293052070</v>
      </c>
      <c r="D88" s="17">
        <v>561907958</v>
      </c>
      <c r="E88" s="17">
        <v>278855888</v>
      </c>
      <c r="F88" s="17">
        <v>3383189</v>
      </c>
      <c r="G88" s="17">
        <v>39427662</v>
      </c>
      <c r="H88" s="17">
        <v>235976190</v>
      </c>
      <c r="I88" s="17">
        <v>44587</v>
      </c>
      <c r="J88" s="17">
        <v>34654</v>
      </c>
      <c r="K88" s="17">
        <v>137743</v>
      </c>
      <c r="L88" s="17">
        <v>76160</v>
      </c>
      <c r="M88" s="17">
        <v>21963</v>
      </c>
      <c r="N88" s="17">
        <v>-36044473</v>
      </c>
      <c r="O88" s="17">
        <v>9933</v>
      </c>
      <c r="P88" s="17">
        <v>61583</v>
      </c>
      <c r="Q88" s="17">
        <v>-51650</v>
      </c>
      <c r="R88" s="18">
        <v>-0.15274622833769796</v>
      </c>
      <c r="S88" s="19">
        <v>4.2377156780097177E-9</v>
      </c>
      <c r="T88" s="19">
        <v>-2.1887801476920193E-4</v>
      </c>
      <c r="U88" s="19">
        <v>9.3072949436127434E-5</v>
      </c>
      <c r="V88" s="18">
        <v>10.705197615699028</v>
      </c>
      <c r="W88" s="18">
        <v>0.28663357765337333</v>
      </c>
      <c r="X88" s="18">
        <v>1.9174338471657955</v>
      </c>
      <c r="Y88" s="18">
        <v>3.8057552589086482E-2</v>
      </c>
      <c r="Z88" s="20">
        <v>13</v>
      </c>
      <c r="AA88" s="25">
        <v>2.5649493574615367</v>
      </c>
      <c r="AB88" s="21">
        <v>1.1315999999999999</v>
      </c>
      <c r="AC88">
        <v>19.495860864502781</v>
      </c>
      <c r="AD88">
        <v>1</v>
      </c>
      <c r="AE88">
        <v>0</v>
      </c>
      <c r="AF88">
        <v>0</v>
      </c>
      <c r="AG88">
        <v>0.117307699755875</v>
      </c>
      <c r="AH88">
        <v>7.4268945249313101E-2</v>
      </c>
    </row>
    <row r="89" spans="1:34" s="5" customFormat="1" ht="12.5" x14ac:dyDescent="0.25">
      <c r="A89" s="16">
        <v>2020</v>
      </c>
      <c r="B89" s="16" t="s">
        <v>14</v>
      </c>
      <c r="C89" s="17">
        <v>492020329</v>
      </c>
      <c r="D89" s="17">
        <v>967430125</v>
      </c>
      <c r="E89" s="17">
        <v>275409796</v>
      </c>
      <c r="F89" s="17">
        <v>2086393</v>
      </c>
      <c r="G89" s="17">
        <v>15652113</v>
      </c>
      <c r="H89" s="17">
        <v>293052070</v>
      </c>
      <c r="I89" s="17">
        <v>42709</v>
      </c>
      <c r="J89" s="17">
        <v>44587</v>
      </c>
      <c r="K89" s="17">
        <v>235146</v>
      </c>
      <c r="L89" s="17">
        <v>137743</v>
      </c>
      <c r="M89" s="17">
        <v>21915</v>
      </c>
      <c r="N89" s="17">
        <v>-13565720</v>
      </c>
      <c r="O89" s="17">
        <v>-1878</v>
      </c>
      <c r="P89" s="17">
        <v>97403</v>
      </c>
      <c r="Q89" s="17">
        <v>-99281</v>
      </c>
      <c r="R89" s="18">
        <v>-4.6291159110392908E-2</v>
      </c>
      <c r="S89" s="19">
        <v>3.4123628609755254E-9</v>
      </c>
      <c r="T89" s="19">
        <v>-3.3878279720051115E-4</v>
      </c>
      <c r="U89" s="19">
        <v>7.4781932098278648E-5</v>
      </c>
      <c r="V89" s="18">
        <v>10.662164949840967</v>
      </c>
      <c r="W89" s="18">
        <v>-4.2119900419404763E-2</v>
      </c>
      <c r="X89" s="18">
        <v>1.9662401489918926</v>
      </c>
      <c r="Y89" s="18">
        <v>2.8828752933001866E-2</v>
      </c>
      <c r="Z89" s="20">
        <v>14</v>
      </c>
      <c r="AA89" s="25">
        <v>2.6390573296152584</v>
      </c>
      <c r="AB89" s="21">
        <v>1.0682</v>
      </c>
      <c r="AC89">
        <v>20.014030592708661</v>
      </c>
      <c r="AD89">
        <v>2</v>
      </c>
      <c r="AE89">
        <v>0.69314718055994529</v>
      </c>
      <c r="AF89">
        <v>0</v>
      </c>
      <c r="AG89">
        <v>0.10001655720500501</v>
      </c>
      <c r="AH89">
        <v>3.2186060182030199E-2</v>
      </c>
    </row>
    <row r="90" spans="1:34" s="5" customFormat="1" ht="12.5" x14ac:dyDescent="0.25">
      <c r="A90" s="16">
        <v>2021</v>
      </c>
      <c r="B90" s="16" t="s">
        <v>14</v>
      </c>
      <c r="C90" s="17">
        <v>538868756</v>
      </c>
      <c r="D90" s="17">
        <v>815022211</v>
      </c>
      <c r="E90" s="17">
        <v>-276153455</v>
      </c>
      <c r="F90" s="17">
        <v>3173252</v>
      </c>
      <c r="G90" s="17">
        <v>68868973</v>
      </c>
      <c r="H90" s="17">
        <v>492020329</v>
      </c>
      <c r="I90" s="17">
        <v>48977</v>
      </c>
      <c r="J90" s="17">
        <v>42709</v>
      </c>
      <c r="K90" s="17">
        <v>306250</v>
      </c>
      <c r="L90" s="17">
        <v>235146</v>
      </c>
      <c r="M90" s="17">
        <v>22668</v>
      </c>
      <c r="N90" s="17">
        <v>-65695721</v>
      </c>
      <c r="O90" s="17">
        <v>6268</v>
      </c>
      <c r="P90" s="17">
        <v>71104</v>
      </c>
      <c r="Q90" s="17">
        <v>-64836</v>
      </c>
      <c r="R90" s="18">
        <v>-0.13352237118641494</v>
      </c>
      <c r="S90" s="19">
        <v>2.0324363467510303E-9</v>
      </c>
      <c r="T90" s="19">
        <v>-1.317750429779498E-4</v>
      </c>
      <c r="U90" s="19">
        <v>4.6071267108152355E-5</v>
      </c>
      <c r="V90" s="18">
        <v>10.799106079140744</v>
      </c>
      <c r="W90" s="18">
        <v>0.14676063593153668</v>
      </c>
      <c r="X90" s="18">
        <v>1.512468856145744</v>
      </c>
      <c r="Y90" s="18">
        <v>2.1967252958031199E-2</v>
      </c>
      <c r="Z90" s="20">
        <v>15</v>
      </c>
      <c r="AA90" s="25">
        <v>2.7080502011022101</v>
      </c>
      <c r="AB90" s="21">
        <v>1.0682</v>
      </c>
      <c r="AC90">
        <v>20.10498260200594</v>
      </c>
      <c r="AD90">
        <v>3</v>
      </c>
      <c r="AE90">
        <v>1.0986122886681098</v>
      </c>
      <c r="AF90">
        <v>0</v>
      </c>
      <c r="AG90">
        <v>-3.77755323746077E-2</v>
      </c>
      <c r="AH90">
        <v>5.5045051015094403E-2</v>
      </c>
    </row>
    <row r="91" spans="1:34" s="5" customFormat="1" ht="12.5" x14ac:dyDescent="0.25">
      <c r="A91" s="16">
        <v>2022</v>
      </c>
      <c r="B91" s="16" t="s">
        <v>14</v>
      </c>
      <c r="C91" s="17">
        <v>510143959</v>
      </c>
      <c r="D91" s="17">
        <v>785092126</v>
      </c>
      <c r="E91" s="17">
        <v>274948167</v>
      </c>
      <c r="F91" s="17">
        <v>941375</v>
      </c>
      <c r="G91" s="17">
        <v>26933973</v>
      </c>
      <c r="H91" s="17">
        <v>538868756</v>
      </c>
      <c r="I91" s="17">
        <v>56916</v>
      </c>
      <c r="J91" s="17">
        <v>48977</v>
      </c>
      <c r="K91" s="17">
        <v>311088</v>
      </c>
      <c r="L91" s="17">
        <v>306250</v>
      </c>
      <c r="M91" s="17">
        <v>23460</v>
      </c>
      <c r="N91" s="17">
        <v>-25992598</v>
      </c>
      <c r="O91" s="17">
        <v>7939</v>
      </c>
      <c r="P91" s="17">
        <v>4838</v>
      </c>
      <c r="Q91" s="17">
        <v>3101</v>
      </c>
      <c r="R91" s="18">
        <v>-4.8235489088181614E-2</v>
      </c>
      <c r="S91" s="19">
        <v>1.8557394335180198E-9</v>
      </c>
      <c r="T91" s="19">
        <v>5.754647983339379E-6</v>
      </c>
      <c r="U91" s="19">
        <v>4.3535647110332742E-5</v>
      </c>
      <c r="V91" s="18">
        <v>10.949331775665582</v>
      </c>
      <c r="W91" s="18">
        <v>0.16209649427282194</v>
      </c>
      <c r="X91" s="18">
        <v>1.538961918786536</v>
      </c>
      <c r="Y91" s="18">
        <v>1.9071654914218573E-2</v>
      </c>
      <c r="Z91" s="20">
        <v>16</v>
      </c>
      <c r="AA91" s="25">
        <v>2.7725887222397811</v>
      </c>
      <c r="AB91" s="21">
        <v>1.0682</v>
      </c>
      <c r="AC91">
        <v>20.05020351640027</v>
      </c>
      <c r="AD91">
        <v>4</v>
      </c>
      <c r="AE91">
        <v>1.3862943611198906</v>
      </c>
      <c r="AF91">
        <v>0</v>
      </c>
      <c r="AG91">
        <v>8.9690378379121596E-2</v>
      </c>
      <c r="AH91">
        <v>3.0241848641894001E-2</v>
      </c>
    </row>
    <row r="92" spans="1:34" s="5" customFormat="1" ht="12.5" x14ac:dyDescent="0.25">
      <c r="A92" s="16">
        <v>2013</v>
      </c>
      <c r="B92" s="16" t="s">
        <v>12</v>
      </c>
      <c r="C92" s="17">
        <v>2878693000</v>
      </c>
      <c r="D92" s="17">
        <v>2406071000</v>
      </c>
      <c r="E92" s="17">
        <v>472622000</v>
      </c>
      <c r="F92" s="17">
        <v>83414000</v>
      </c>
      <c r="G92" s="17">
        <v>235619000</v>
      </c>
      <c r="H92" s="17">
        <v>2436886000</v>
      </c>
      <c r="I92" s="17">
        <v>311275</v>
      </c>
      <c r="J92" s="17">
        <v>279042</v>
      </c>
      <c r="K92" s="17">
        <v>1376083</v>
      </c>
      <c r="L92" s="17">
        <v>1099145</v>
      </c>
      <c r="M92" s="17">
        <v>67364</v>
      </c>
      <c r="N92" s="17">
        <v>-152205000</v>
      </c>
      <c r="O92" s="17">
        <v>32233</v>
      </c>
      <c r="P92" s="17">
        <v>276938</v>
      </c>
      <c r="Q92" s="17">
        <v>-244705</v>
      </c>
      <c r="R92" s="18">
        <v>-6.2458810137199686E-2</v>
      </c>
      <c r="S92" s="19">
        <v>4.1035977883249363E-10</v>
      </c>
      <c r="T92" s="19">
        <v>-1.0041708967920534E-4</v>
      </c>
      <c r="U92" s="19">
        <v>2.76434761412721E-5</v>
      </c>
      <c r="V92" s="18">
        <v>12.648432044820613</v>
      </c>
      <c r="W92" s="18">
        <v>0.11551307688448334</v>
      </c>
      <c r="X92" s="18">
        <v>0.83582063109890492</v>
      </c>
      <c r="Y92" s="18">
        <v>2.2083061709447231E-2</v>
      </c>
      <c r="Z92" s="20">
        <v>23</v>
      </c>
      <c r="AA92" s="25">
        <v>3.1354942159291497</v>
      </c>
      <c r="AB92" s="21">
        <v>4.0086000000000004</v>
      </c>
      <c r="AC92">
        <v>21.868485910124889</v>
      </c>
      <c r="AD92">
        <v>4</v>
      </c>
      <c r="AE92">
        <v>1.3862943611198906</v>
      </c>
      <c r="AF92">
        <v>0</v>
      </c>
      <c r="AG92">
        <v>2.3536137319778699E-2</v>
      </c>
      <c r="AH92">
        <v>8.7171702385102606E-2</v>
      </c>
    </row>
    <row r="93" spans="1:34" s="5" customFormat="1" ht="12.5" x14ac:dyDescent="0.25">
      <c r="A93" s="16">
        <v>2014</v>
      </c>
      <c r="B93" s="16" t="s">
        <v>12</v>
      </c>
      <c r="C93" s="17">
        <v>3423819000</v>
      </c>
      <c r="D93" s="17">
        <v>2911112000</v>
      </c>
      <c r="E93" s="17">
        <v>512707000</v>
      </c>
      <c r="F93" s="17">
        <v>92479000</v>
      </c>
      <c r="G93" s="17">
        <v>-146441000</v>
      </c>
      <c r="H93" s="17">
        <v>2878693000</v>
      </c>
      <c r="I93" s="17">
        <v>372015</v>
      </c>
      <c r="J93" s="17">
        <v>311275</v>
      </c>
      <c r="K93" s="17">
        <v>2050389</v>
      </c>
      <c r="L93" s="17">
        <v>1376083</v>
      </c>
      <c r="M93" s="17">
        <v>69531</v>
      </c>
      <c r="N93" s="17">
        <v>-53962000</v>
      </c>
      <c r="O93" s="17">
        <v>60740</v>
      </c>
      <c r="P93" s="17">
        <v>674306</v>
      </c>
      <c r="Q93" s="17">
        <v>-613566</v>
      </c>
      <c r="R93" s="18">
        <v>-1.8745312542879703E-2</v>
      </c>
      <c r="S93" s="19">
        <v>3.473798699618195E-10</v>
      </c>
      <c r="T93" s="19">
        <v>-2.1314047729299374E-4</v>
      </c>
      <c r="U93" s="19">
        <v>2.415366973831527E-5</v>
      </c>
      <c r="V93" s="18">
        <v>12.826689455022995</v>
      </c>
      <c r="W93" s="18">
        <v>0.19513292105051802</v>
      </c>
      <c r="X93" s="18">
        <v>0.85025289012065186</v>
      </c>
      <c r="Y93" s="18">
        <v>1.9058846461926512E-2</v>
      </c>
      <c r="Z93" s="20">
        <v>24</v>
      </c>
      <c r="AA93" s="25">
        <v>3.1780538303479458</v>
      </c>
      <c r="AB93" s="21">
        <v>4.0086000000000004</v>
      </c>
      <c r="AC93">
        <v>22.046424425949461</v>
      </c>
      <c r="AD93">
        <v>5</v>
      </c>
      <c r="AE93">
        <v>1.6094379124341003</v>
      </c>
      <c r="AF93">
        <v>0</v>
      </c>
      <c r="AG93">
        <v>5.0896238254663504E-3</v>
      </c>
      <c r="AH93">
        <v>0.130885164814913</v>
      </c>
    </row>
    <row r="94" spans="1:34" s="5" customFormat="1" ht="12.5" x14ac:dyDescent="0.25">
      <c r="A94" s="16">
        <v>2015</v>
      </c>
      <c r="B94" s="16" t="s">
        <v>12</v>
      </c>
      <c r="C94" s="17">
        <v>3750327000</v>
      </c>
      <c r="D94" s="17">
        <v>3203381000</v>
      </c>
      <c r="E94" s="17">
        <v>546946000</v>
      </c>
      <c r="F94" s="17">
        <v>98784000</v>
      </c>
      <c r="G94" s="17">
        <v>-415396000</v>
      </c>
      <c r="H94" s="17">
        <v>3423819000</v>
      </c>
      <c r="I94" s="17">
        <v>396653</v>
      </c>
      <c r="J94" s="17">
        <v>372015</v>
      </c>
      <c r="K94" s="17">
        <v>2116119</v>
      </c>
      <c r="L94" s="17">
        <v>2050389</v>
      </c>
      <c r="M94" s="17">
        <v>81187</v>
      </c>
      <c r="N94" s="17">
        <v>-316612000</v>
      </c>
      <c r="O94" s="17">
        <v>24638</v>
      </c>
      <c r="P94" s="17">
        <v>65730</v>
      </c>
      <c r="Q94" s="17">
        <v>-41092</v>
      </c>
      <c r="R94" s="18">
        <v>-9.2473346283784272E-2</v>
      </c>
      <c r="S94" s="19">
        <v>2.9207151429441802E-10</v>
      </c>
      <c r="T94" s="19">
        <v>-1.2001802665386225E-5</v>
      </c>
      <c r="U94" s="19">
        <v>2.3712410031020916E-5</v>
      </c>
      <c r="V94" s="18">
        <v>12.890817122044545</v>
      </c>
      <c r="W94" s="18">
        <v>6.6228512291171049E-2</v>
      </c>
      <c r="X94" s="18">
        <v>0.85416045054204603</v>
      </c>
      <c r="Y94" s="18">
        <v>2.171835076102327E-2</v>
      </c>
      <c r="Z94" s="20">
        <v>25</v>
      </c>
      <c r="AA94" s="25">
        <v>3.2188758248682006</v>
      </c>
      <c r="AB94" s="21">
        <v>0.97499999999999998</v>
      </c>
      <c r="AC94">
        <v>22.111269236827241</v>
      </c>
      <c r="AD94">
        <v>6</v>
      </c>
      <c r="AE94">
        <v>1.791759469228055</v>
      </c>
      <c r="AF94">
        <v>1</v>
      </c>
      <c r="AG94">
        <v>-2.3610336424244099E-3</v>
      </c>
      <c r="AH94">
        <v>5.7157176379949999E-2</v>
      </c>
    </row>
    <row r="95" spans="1:34" s="5" customFormat="1" ht="12.5" x14ac:dyDescent="0.25">
      <c r="A95" s="16">
        <v>2016</v>
      </c>
      <c r="B95" s="16" t="s">
        <v>12</v>
      </c>
      <c r="C95" s="17">
        <v>4283736000</v>
      </c>
      <c r="D95" s="17">
        <v>3667383000</v>
      </c>
      <c r="E95" s="17">
        <v>616353000</v>
      </c>
      <c r="F95" s="17">
        <v>119285000</v>
      </c>
      <c r="G95" s="17">
        <v>-104917000</v>
      </c>
      <c r="H95" s="17">
        <v>3750327000</v>
      </c>
      <c r="I95" s="17">
        <v>454808</v>
      </c>
      <c r="J95" s="17">
        <v>396653</v>
      </c>
      <c r="K95" s="17">
        <v>2492537</v>
      </c>
      <c r="L95" s="17">
        <v>2116119</v>
      </c>
      <c r="M95" s="17">
        <v>94613</v>
      </c>
      <c r="N95" s="17">
        <v>14368000</v>
      </c>
      <c r="O95" s="17">
        <v>58155</v>
      </c>
      <c r="P95" s="17">
        <v>376418</v>
      </c>
      <c r="Q95" s="17">
        <v>-318263</v>
      </c>
      <c r="R95" s="18">
        <v>3.8311325919046526E-3</v>
      </c>
      <c r="S95" s="19">
        <v>2.6664341536084719E-10</v>
      </c>
      <c r="T95" s="19">
        <v>-8.486273330298931E-5</v>
      </c>
      <c r="U95" s="19">
        <v>2.5227933457535837E-5</v>
      </c>
      <c r="V95" s="18">
        <v>13.027630630853329</v>
      </c>
      <c r="W95" s="18">
        <v>0.14661429511436949</v>
      </c>
      <c r="X95" s="18">
        <v>0.85611788401526145</v>
      </c>
      <c r="Y95" s="18">
        <v>2.2212634432705849E-2</v>
      </c>
      <c r="Z95" s="20">
        <v>26</v>
      </c>
      <c r="AA95" s="25">
        <v>3.2580965380214821</v>
      </c>
      <c r="AB95" s="21">
        <v>0.97499999999999998</v>
      </c>
      <c r="AC95">
        <v>22.279266052140621</v>
      </c>
      <c r="AD95">
        <v>7</v>
      </c>
      <c r="AE95">
        <v>1.9459101490553132</v>
      </c>
      <c r="AF95">
        <v>1</v>
      </c>
      <c r="AG95">
        <v>9.0467907253508704E-3</v>
      </c>
      <c r="AH95">
        <v>0.15346164812382801</v>
      </c>
    </row>
    <row r="96" spans="1:34" s="5" customFormat="1" ht="12.5" x14ac:dyDescent="0.25">
      <c r="A96" s="16">
        <v>2017</v>
      </c>
      <c r="B96" s="16" t="s">
        <v>12</v>
      </c>
      <c r="C96" s="17">
        <v>4833658000</v>
      </c>
      <c r="D96" s="17">
        <v>4126133000</v>
      </c>
      <c r="E96" s="17">
        <v>707525000</v>
      </c>
      <c r="F96" s="17">
        <v>157145000</v>
      </c>
      <c r="G96" s="17">
        <v>-255750000</v>
      </c>
      <c r="H96" s="17">
        <v>4283736000</v>
      </c>
      <c r="I96" s="17">
        <v>673636</v>
      </c>
      <c r="J96" s="17">
        <v>454808</v>
      </c>
      <c r="K96" s="17">
        <v>2253795</v>
      </c>
      <c r="L96" s="17">
        <v>2492537</v>
      </c>
      <c r="M96" s="17">
        <v>118223</v>
      </c>
      <c r="N96" s="17">
        <v>-98605000</v>
      </c>
      <c r="O96" s="17">
        <v>218828</v>
      </c>
      <c r="P96" s="17">
        <v>-238742</v>
      </c>
      <c r="Q96" s="17">
        <v>-19914</v>
      </c>
      <c r="R96" s="18">
        <v>-2.301845865384795E-2</v>
      </c>
      <c r="S96" s="19">
        <v>2.3344108974035749E-10</v>
      </c>
      <c r="T96" s="19">
        <v>-4.6487458610894792E-6</v>
      </c>
      <c r="U96" s="19">
        <v>2.7598105952374284E-5</v>
      </c>
      <c r="V96" s="18">
        <v>13.420445184662688</v>
      </c>
      <c r="W96" s="18">
        <v>0.48114369140384516</v>
      </c>
      <c r="X96" s="18">
        <v>0.85362534957996616</v>
      </c>
      <c r="Y96" s="18">
        <v>2.3820906757924976E-2</v>
      </c>
      <c r="Z96" s="20">
        <v>27</v>
      </c>
      <c r="AA96" s="25">
        <v>3.2958368660043291</v>
      </c>
      <c r="AB96" s="21">
        <v>0.97499999999999998</v>
      </c>
      <c r="AC96">
        <v>22.44518439663344</v>
      </c>
      <c r="AD96">
        <v>8</v>
      </c>
      <c r="AE96">
        <v>2.0794415416798357</v>
      </c>
      <c r="AF96">
        <v>1</v>
      </c>
      <c r="AG96">
        <v>2.1607257328423199E-3</v>
      </c>
      <c r="AH96">
        <v>0.126612063932942</v>
      </c>
    </row>
    <row r="97" spans="1:34" s="5" customFormat="1" ht="12.5" x14ac:dyDescent="0.25">
      <c r="A97" s="16">
        <v>2018</v>
      </c>
      <c r="B97" s="16" t="s">
        <v>12</v>
      </c>
      <c r="C97" s="17">
        <v>4955445000</v>
      </c>
      <c r="D97" s="17">
        <v>4280413000</v>
      </c>
      <c r="E97" s="17">
        <v>675032000</v>
      </c>
      <c r="F97" s="17">
        <v>165480000</v>
      </c>
      <c r="G97" s="17">
        <v>184314000</v>
      </c>
      <c r="H97" s="17">
        <v>4833658000</v>
      </c>
      <c r="I97" s="17">
        <v>538004</v>
      </c>
      <c r="J97" s="17">
        <v>673636</v>
      </c>
      <c r="K97" s="17">
        <v>2129532</v>
      </c>
      <c r="L97" s="17">
        <v>2253795</v>
      </c>
      <c r="M97" s="17">
        <v>133854</v>
      </c>
      <c r="N97" s="17">
        <v>-18834000</v>
      </c>
      <c r="O97" s="17">
        <v>-135632</v>
      </c>
      <c r="P97" s="17">
        <v>-124263</v>
      </c>
      <c r="Q97" s="17">
        <v>-259895</v>
      </c>
      <c r="R97" s="18">
        <v>-3.8964279227036748E-3</v>
      </c>
      <c r="S97" s="19">
        <v>2.0688265491683524E-10</v>
      </c>
      <c r="T97" s="19">
        <v>-5.3767767599610897E-5</v>
      </c>
      <c r="U97" s="19">
        <v>2.7692070891238065E-5</v>
      </c>
      <c r="V97" s="18">
        <v>13.195621274060521</v>
      </c>
      <c r="W97" s="18">
        <v>-0.20134315861978874</v>
      </c>
      <c r="X97" s="18">
        <v>0.86377974127449708</v>
      </c>
      <c r="Y97" s="18">
        <v>2.5041011063332501E-2</v>
      </c>
      <c r="Z97" s="20">
        <v>28</v>
      </c>
      <c r="AA97" s="25">
        <v>3.3322045101752038</v>
      </c>
      <c r="AB97" s="21">
        <v>0.97499999999999998</v>
      </c>
      <c r="AC97">
        <v>22.50761626018652</v>
      </c>
      <c r="AD97">
        <v>9</v>
      </c>
      <c r="AE97">
        <v>2.1972245773362196</v>
      </c>
      <c r="AF97">
        <v>1</v>
      </c>
      <c r="AG97">
        <v>1.2657821238303901E-2</v>
      </c>
      <c r="AH97">
        <v>0.14573409178952901</v>
      </c>
    </row>
    <row r="98" spans="1:34" s="5" customFormat="1" ht="12.5" x14ac:dyDescent="0.25">
      <c r="A98" s="16">
        <v>2019</v>
      </c>
      <c r="B98" s="16" t="s">
        <v>12</v>
      </c>
      <c r="C98" s="17">
        <v>5435073000</v>
      </c>
      <c r="D98" s="17">
        <v>4656078000</v>
      </c>
      <c r="E98" s="17">
        <v>778995000</v>
      </c>
      <c r="F98" s="17">
        <v>178003000</v>
      </c>
      <c r="G98" s="17">
        <v>390093000</v>
      </c>
      <c r="H98" s="17">
        <v>4955445000</v>
      </c>
      <c r="I98" s="17">
        <v>564687</v>
      </c>
      <c r="J98" s="17">
        <v>538004</v>
      </c>
      <c r="K98" s="17">
        <v>2721542</v>
      </c>
      <c r="L98" s="17">
        <v>2129532</v>
      </c>
      <c r="M98" s="17">
        <v>165456</v>
      </c>
      <c r="N98" s="17">
        <v>-212090000</v>
      </c>
      <c r="O98" s="17">
        <v>26683</v>
      </c>
      <c r="P98" s="17">
        <v>592010</v>
      </c>
      <c r="Q98" s="17">
        <v>-565327</v>
      </c>
      <c r="R98" s="18">
        <v>-4.2799385322609775E-2</v>
      </c>
      <c r="S98" s="19">
        <v>2.017982239738308E-10</v>
      </c>
      <c r="T98" s="19">
        <v>-1.1408198456445384E-4</v>
      </c>
      <c r="U98" s="19">
        <v>3.3388726945814152E-5</v>
      </c>
      <c r="V98" s="18">
        <v>13.244026874322802</v>
      </c>
      <c r="W98" s="18">
        <v>4.959628552947562E-2</v>
      </c>
      <c r="X98" s="18">
        <v>0.85667257827079779</v>
      </c>
      <c r="Y98" s="18">
        <v>2.9182216960493498E-2</v>
      </c>
      <c r="Z98" s="20">
        <v>29</v>
      </c>
      <c r="AA98" s="25">
        <v>3.3672958299864741</v>
      </c>
      <c r="AB98" s="21">
        <v>6.2927999999999997</v>
      </c>
      <c r="AC98">
        <v>22.57122903296424</v>
      </c>
      <c r="AD98">
        <v>10</v>
      </c>
      <c r="AE98">
        <v>2.3025850929940459</v>
      </c>
      <c r="AF98">
        <v>1</v>
      </c>
      <c r="AG98">
        <v>2.2055093279443699E-2</v>
      </c>
      <c r="AH98">
        <v>0.10683112391794</v>
      </c>
    </row>
    <row r="99" spans="1:34" s="5" customFormat="1" ht="12.5" x14ac:dyDescent="0.25">
      <c r="A99" s="16">
        <v>2020</v>
      </c>
      <c r="B99" s="16" t="s">
        <v>12</v>
      </c>
      <c r="C99" s="17">
        <v>7124987000</v>
      </c>
      <c r="D99" s="17">
        <v>6219755000</v>
      </c>
      <c r="E99" s="17">
        <v>905232000</v>
      </c>
      <c r="F99" s="17">
        <v>197852000</v>
      </c>
      <c r="G99" s="17">
        <v>65920000</v>
      </c>
      <c r="H99" s="17">
        <v>5435073000</v>
      </c>
      <c r="I99" s="17">
        <v>595921</v>
      </c>
      <c r="J99" s="17">
        <v>564687</v>
      </c>
      <c r="K99" s="17">
        <v>3172174</v>
      </c>
      <c r="L99" s="17">
        <v>2721542</v>
      </c>
      <c r="M99" s="17">
        <v>169080</v>
      </c>
      <c r="N99" s="17">
        <v>131932000</v>
      </c>
      <c r="O99" s="17">
        <v>31234</v>
      </c>
      <c r="P99" s="17">
        <v>450632</v>
      </c>
      <c r="Q99" s="17">
        <v>-419398</v>
      </c>
      <c r="R99" s="18">
        <v>2.4274190981427482E-2</v>
      </c>
      <c r="S99" s="19">
        <v>1.83990169037288E-10</v>
      </c>
      <c r="T99" s="19">
        <v>-7.7165108913900506E-5</v>
      </c>
      <c r="U99" s="19">
        <v>3.1109057780824657E-5</v>
      </c>
      <c r="V99" s="18">
        <v>13.297863386926345</v>
      </c>
      <c r="W99" s="18">
        <v>5.5312057830267033E-2</v>
      </c>
      <c r="X99" s="18">
        <v>0.87294966292570075</v>
      </c>
      <c r="Y99" s="18">
        <v>2.242234419554048E-2</v>
      </c>
      <c r="Z99" s="20">
        <v>30</v>
      </c>
      <c r="AA99" s="25">
        <v>3.4011973816621555</v>
      </c>
      <c r="AB99" s="21">
        <v>6.2927999999999997</v>
      </c>
      <c r="AC99">
        <v>22.861126275501348</v>
      </c>
      <c r="AD99">
        <v>1</v>
      </c>
      <c r="AE99">
        <v>0</v>
      </c>
      <c r="AF99">
        <v>0</v>
      </c>
      <c r="AG99">
        <v>1.5770518762521502E-2</v>
      </c>
      <c r="AH99">
        <v>0.17390470742925601</v>
      </c>
    </row>
    <row r="100" spans="1:34" s="5" customFormat="1" ht="12.5" x14ac:dyDescent="0.25">
      <c r="A100" s="16">
        <v>2021</v>
      </c>
      <c r="B100" s="16" t="s">
        <v>12</v>
      </c>
      <c r="C100" s="17">
        <v>7872292000</v>
      </c>
      <c r="D100" s="17">
        <v>6822517000</v>
      </c>
      <c r="E100" s="17">
        <v>1049775000</v>
      </c>
      <c r="F100" s="17">
        <v>233133000</v>
      </c>
      <c r="G100" s="17">
        <v>457857000</v>
      </c>
      <c r="H100" s="17">
        <v>7124987000</v>
      </c>
      <c r="I100" s="17">
        <v>677283</v>
      </c>
      <c r="J100" s="17">
        <v>595921</v>
      </c>
      <c r="K100" s="17">
        <v>3617505</v>
      </c>
      <c r="L100" s="17">
        <v>3172174</v>
      </c>
      <c r="M100" s="17">
        <v>177501</v>
      </c>
      <c r="N100" s="17">
        <v>-224724000</v>
      </c>
      <c r="O100" s="17">
        <v>81362</v>
      </c>
      <c r="P100" s="17">
        <v>445331</v>
      </c>
      <c r="Q100" s="17">
        <v>-363969</v>
      </c>
      <c r="R100" s="18">
        <v>-3.1540268073471572E-2</v>
      </c>
      <c r="S100" s="19">
        <v>1.4035113327224317E-10</v>
      </c>
      <c r="T100" s="19">
        <v>-5.1083461625965073E-5</v>
      </c>
      <c r="U100" s="19">
        <v>2.4912466506956435E-5</v>
      </c>
      <c r="V100" s="18">
        <v>13.425844485227577</v>
      </c>
      <c r="W100" s="18">
        <v>0.13653152011759948</v>
      </c>
      <c r="X100" s="18">
        <v>0.86664938241620104</v>
      </c>
      <c r="Y100" s="18">
        <v>2.3820906757924976E-2</v>
      </c>
      <c r="Z100" s="20">
        <v>31</v>
      </c>
      <c r="AA100" s="25">
        <v>3.4339872044851463</v>
      </c>
      <c r="AB100" s="21">
        <v>6.2927999999999997</v>
      </c>
      <c r="AC100">
        <v>22.969052298429911</v>
      </c>
      <c r="AD100">
        <v>2</v>
      </c>
      <c r="AE100">
        <v>0.69314718055994529</v>
      </c>
      <c r="AF100">
        <v>0</v>
      </c>
      <c r="AG100">
        <v>2.7274396713514001E-2</v>
      </c>
      <c r="AH100">
        <v>0.118090252066433</v>
      </c>
    </row>
    <row r="101" spans="1:34" s="5" customFormat="1" ht="12.5" x14ac:dyDescent="0.25">
      <c r="A101" s="16">
        <v>2022</v>
      </c>
      <c r="B101" s="16" t="s">
        <v>12</v>
      </c>
      <c r="C101" s="17">
        <v>10570678000</v>
      </c>
      <c r="D101" s="17">
        <v>9375531000</v>
      </c>
      <c r="E101" s="17">
        <v>1195147000</v>
      </c>
      <c r="F101" s="17">
        <v>234593000</v>
      </c>
      <c r="G101" s="17">
        <v>1279760000</v>
      </c>
      <c r="H101" s="17">
        <v>7872292000</v>
      </c>
      <c r="I101" s="17">
        <v>833087</v>
      </c>
      <c r="J101" s="17">
        <v>677283</v>
      </c>
      <c r="K101" s="17">
        <v>4868472</v>
      </c>
      <c r="L101" s="17">
        <v>3617505</v>
      </c>
      <c r="M101" s="17">
        <v>214572</v>
      </c>
      <c r="N101" s="17">
        <v>-1045167000</v>
      </c>
      <c r="O101" s="17">
        <v>155804</v>
      </c>
      <c r="P101" s="17">
        <v>1250967</v>
      </c>
      <c r="Q101" s="17">
        <v>-1095163</v>
      </c>
      <c r="R101" s="18">
        <v>-0.13276527344260097</v>
      </c>
      <c r="S101" s="19">
        <v>1.2702780841970801E-10</v>
      </c>
      <c r="T101" s="19">
        <v>-1.3911615575235269E-4</v>
      </c>
      <c r="U101" s="19">
        <v>2.7256610908233588E-5</v>
      </c>
      <c r="V101" s="18">
        <v>13.632893357472028</v>
      </c>
      <c r="W101" s="18">
        <v>0.23004268525859944</v>
      </c>
      <c r="X101" s="18">
        <v>0.88693752661844394</v>
      </c>
      <c r="Y101" s="18">
        <v>2.5041011063332501E-2</v>
      </c>
      <c r="Z101" s="20">
        <v>32</v>
      </c>
      <c r="AA101" s="25">
        <v>3.4657359027997265</v>
      </c>
      <c r="AB101" s="21">
        <v>6.2927999999999997</v>
      </c>
      <c r="AC101">
        <v>23.231696042260051</v>
      </c>
      <c r="AD101">
        <v>3</v>
      </c>
      <c r="AE101">
        <v>1.0986122886681098</v>
      </c>
      <c r="AF101">
        <v>0</v>
      </c>
      <c r="AG101">
        <v>4.9503318704549701E-2</v>
      </c>
      <c r="AH101">
        <v>1.6865229831227301E-2</v>
      </c>
    </row>
    <row r="102" spans="1:34" ht="14" x14ac:dyDescent="0.3">
      <c r="C102" s="3"/>
      <c r="D102" s="4"/>
      <c r="E102" s="4"/>
      <c r="F102" s="3"/>
      <c r="G102" s="3"/>
    </row>
    <row r="103" spans="1:34" ht="14" x14ac:dyDescent="0.3">
      <c r="C103" s="3"/>
      <c r="D103" s="4"/>
      <c r="E103" s="4"/>
      <c r="F103" s="3"/>
      <c r="G103" s="3"/>
    </row>
    <row r="104" spans="1:34" ht="14" x14ac:dyDescent="0.3">
      <c r="C104" s="3"/>
      <c r="D104" s="4"/>
      <c r="E104" s="4"/>
      <c r="F104" s="3"/>
      <c r="G104" s="3"/>
    </row>
    <row r="105" spans="1:34" ht="14" x14ac:dyDescent="0.3">
      <c r="C105" s="3"/>
      <c r="D105" s="4"/>
      <c r="E105" s="4"/>
      <c r="F105" s="3"/>
      <c r="G105" s="3"/>
    </row>
    <row r="106" spans="1:34" ht="14" x14ac:dyDescent="0.3">
      <c r="C106" s="3"/>
      <c r="D106" s="4"/>
      <c r="E106" s="4"/>
      <c r="F106" s="3"/>
      <c r="G106" s="3"/>
    </row>
    <row r="107" spans="1:34" ht="14" x14ac:dyDescent="0.3">
      <c r="C107" s="3"/>
      <c r="D107" s="4"/>
      <c r="E107" s="4"/>
      <c r="F107" s="3"/>
      <c r="G107" s="3"/>
    </row>
    <row r="108" spans="1:34" ht="14" x14ac:dyDescent="0.3">
      <c r="C108" s="3"/>
      <c r="D108" s="4"/>
      <c r="E108" s="4"/>
      <c r="F108" s="3"/>
      <c r="G108" s="3"/>
    </row>
    <row r="109" spans="1:34" ht="14" x14ac:dyDescent="0.3">
      <c r="C109" s="3"/>
      <c r="D109" s="4"/>
      <c r="E109" s="4"/>
      <c r="F109" s="3"/>
      <c r="G109" s="3"/>
    </row>
    <row r="110" spans="1:34" ht="14" x14ac:dyDescent="0.3">
      <c r="C110" s="3"/>
      <c r="D110" s="4"/>
      <c r="E110" s="4"/>
      <c r="F110" s="3"/>
      <c r="G110" s="3"/>
    </row>
    <row r="111" spans="1:34" ht="14" x14ac:dyDescent="0.3">
      <c r="C111" s="3"/>
      <c r="D111" s="4"/>
      <c r="E111" s="4"/>
      <c r="F111" s="3"/>
      <c r="G111" s="3"/>
    </row>
    <row r="112" spans="1:34" ht="14" x14ac:dyDescent="0.3">
      <c r="C112" s="3"/>
      <c r="D112" s="4"/>
      <c r="E112" s="4"/>
      <c r="F112" s="3"/>
      <c r="G112" s="3"/>
    </row>
    <row r="113" spans="3:7" ht="14" x14ac:dyDescent="0.3">
      <c r="C113" s="3"/>
      <c r="D113" s="4"/>
      <c r="E113" s="4"/>
      <c r="F113" s="3"/>
      <c r="G113" s="3"/>
    </row>
    <row r="114" spans="3:7" ht="14" x14ac:dyDescent="0.3">
      <c r="C114" s="3"/>
      <c r="D114" s="4"/>
      <c r="E114" s="4"/>
      <c r="F114" s="3"/>
      <c r="G114" s="3"/>
    </row>
    <row r="115" spans="3:7" ht="14" x14ac:dyDescent="0.3">
      <c r="C115" s="3"/>
      <c r="D115" s="4"/>
      <c r="E115" s="4"/>
      <c r="F115" s="3"/>
      <c r="G115" s="3"/>
    </row>
    <row r="116" spans="3:7" ht="14" x14ac:dyDescent="0.3">
      <c r="C116" s="3"/>
      <c r="D116" s="4"/>
      <c r="E116" s="4"/>
      <c r="F116" s="3"/>
      <c r="G116" s="3"/>
    </row>
    <row r="117" spans="3:7" ht="14" x14ac:dyDescent="0.3">
      <c r="C117" s="3"/>
      <c r="D117" s="4"/>
      <c r="E117" s="4"/>
      <c r="F117" s="3"/>
      <c r="G117" s="3"/>
    </row>
    <row r="118" spans="3:7" ht="14" x14ac:dyDescent="0.3">
      <c r="C118" s="3"/>
      <c r="D118" s="4"/>
      <c r="E118" s="4"/>
      <c r="F118" s="3"/>
      <c r="G118" s="3"/>
    </row>
    <row r="119" spans="3:7" ht="14" x14ac:dyDescent="0.3">
      <c r="C119" s="3"/>
      <c r="D119" s="4"/>
      <c r="E119" s="4"/>
      <c r="F119" s="3"/>
      <c r="G119" s="3"/>
    </row>
    <row r="120" spans="3:7" ht="14" x14ac:dyDescent="0.3">
      <c r="C120" s="3"/>
      <c r="D120" s="4"/>
      <c r="E120" s="4"/>
      <c r="F120" s="3"/>
      <c r="G120" s="3"/>
    </row>
    <row r="121" spans="3:7" ht="14" x14ac:dyDescent="0.3">
      <c r="C121" s="3"/>
      <c r="D121" s="4"/>
      <c r="E121" s="4"/>
      <c r="F121" s="3"/>
      <c r="G121" s="3"/>
    </row>
    <row r="122" spans="3:7" ht="14" x14ac:dyDescent="0.3">
      <c r="C122" s="3"/>
      <c r="D122" s="4"/>
      <c r="E122" s="4"/>
      <c r="F122" s="3"/>
      <c r="G122" s="3"/>
    </row>
  </sheetData>
  <autoFilter ref="A1:AF101" xr:uid="{4A36FD42-0367-4FB8-A1CA-59282C32884C}">
    <sortState xmlns:xlrd2="http://schemas.microsoft.com/office/spreadsheetml/2017/richdata2" ref="A2:AF101">
      <sortCondition ref="B1:B1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BA9A-ADBA-40F2-A01F-5315ADE464AF}">
  <dimension ref="A1:N101"/>
  <sheetViews>
    <sheetView tabSelected="1" topLeftCell="A95" workbookViewId="0">
      <selection activeCell="C2" sqref="C2:D101"/>
    </sheetView>
  </sheetViews>
  <sheetFormatPr defaultRowHeight="12.5" x14ac:dyDescent="0.25"/>
  <cols>
    <col min="1" max="1" width="4.81640625" bestFit="1" customWidth="1"/>
    <col min="2" max="2" width="11.36328125" bestFit="1" customWidth="1"/>
    <col min="3" max="3" width="13.7265625" bestFit="1" customWidth="1"/>
    <col min="4" max="5" width="12.6328125" bestFit="1" customWidth="1"/>
    <col min="6" max="6" width="15.7265625" bestFit="1" customWidth="1"/>
    <col min="7" max="8" width="11.81640625" bestFit="1" customWidth="1"/>
    <col min="9" max="9" width="10.54296875" bestFit="1" customWidth="1"/>
    <col min="10" max="10" width="12.453125" bestFit="1" customWidth="1"/>
    <col min="11" max="11" width="11.81640625" bestFit="1" customWidth="1"/>
  </cols>
  <sheetData>
    <row r="1" spans="1:14" x14ac:dyDescent="0.25">
      <c r="A1" s="11" t="s">
        <v>0</v>
      </c>
      <c r="B1" s="11" t="s">
        <v>7</v>
      </c>
      <c r="C1" s="12" t="s">
        <v>26</v>
      </c>
      <c r="D1" s="12" t="s">
        <v>22</v>
      </c>
      <c r="E1" s="12" t="s">
        <v>29</v>
      </c>
      <c r="F1" s="13" t="s">
        <v>28</v>
      </c>
      <c r="G1" t="s">
        <v>31</v>
      </c>
      <c r="H1" t="s">
        <v>32</v>
      </c>
      <c r="I1" t="s">
        <v>33</v>
      </c>
      <c r="J1" t="s">
        <v>44</v>
      </c>
      <c r="K1" t="s">
        <v>45</v>
      </c>
      <c r="L1" t="s">
        <v>48</v>
      </c>
      <c r="M1" t="s">
        <v>46</v>
      </c>
      <c r="N1" t="s">
        <v>47</v>
      </c>
    </row>
    <row r="2" spans="1:14" x14ac:dyDescent="0.25">
      <c r="A2" s="16">
        <v>2013</v>
      </c>
      <c r="B2" s="16" t="s">
        <v>13</v>
      </c>
      <c r="C2" s="18">
        <v>10.828995673459891</v>
      </c>
      <c r="D2" s="18">
        <v>-0.72069274707757702</v>
      </c>
      <c r="E2" s="18">
        <v>0.85612178889576429</v>
      </c>
      <c r="F2" s="25">
        <v>3.1780538303479458</v>
      </c>
      <c r="G2">
        <v>21.330564237166541</v>
      </c>
      <c r="H2">
        <v>0</v>
      </c>
      <c r="I2">
        <v>0</v>
      </c>
      <c r="J2">
        <v>3.4903647954671199E-2</v>
      </c>
      <c r="K2">
        <v>0.10641544097146199</v>
      </c>
      <c r="L2">
        <v>0.74451450480856063</v>
      </c>
      <c r="M2">
        <v>0</v>
      </c>
      <c r="N2">
        <v>0</v>
      </c>
    </row>
    <row r="3" spans="1:14" x14ac:dyDescent="0.25">
      <c r="A3" s="16">
        <v>2014</v>
      </c>
      <c r="B3" s="16" t="s">
        <v>13</v>
      </c>
      <c r="C3" s="18">
        <v>12.27936957459163</v>
      </c>
      <c r="D3" s="18">
        <v>3.2647087965440025</v>
      </c>
      <c r="E3" s="18">
        <v>0.86167411216596645</v>
      </c>
      <c r="F3" s="25">
        <v>3.2188758248682006</v>
      </c>
      <c r="G3">
        <v>21.46727747598193</v>
      </c>
      <c r="H3">
        <v>0.69314718055994529</v>
      </c>
      <c r="I3">
        <v>0</v>
      </c>
      <c r="J3">
        <v>-1.95006903710618E-2</v>
      </c>
      <c r="K3">
        <v>0.218072478148988</v>
      </c>
      <c r="L3">
        <v>0.74928629556691584</v>
      </c>
      <c r="M3">
        <v>2.4193365171037241E-2</v>
      </c>
      <c r="N3">
        <v>0</v>
      </c>
    </row>
    <row r="4" spans="1:14" x14ac:dyDescent="0.25">
      <c r="A4" s="16">
        <v>2015</v>
      </c>
      <c r="B4" s="16" t="s">
        <v>13</v>
      </c>
      <c r="C4" s="18">
        <v>12.682496247578655</v>
      </c>
      <c r="D4" s="18">
        <v>0.49649644533246595</v>
      </c>
      <c r="E4" s="18">
        <v>0.85056498207070153</v>
      </c>
      <c r="F4" s="25">
        <v>3.2580965380214821</v>
      </c>
      <c r="G4">
        <v>21.675367748422321</v>
      </c>
      <c r="H4">
        <v>1.0986122886681098</v>
      </c>
      <c r="I4">
        <v>0</v>
      </c>
      <c r="J4">
        <v>2.0123284194056498E-3</v>
      </c>
      <c r="K4">
        <v>0.13231246639584701</v>
      </c>
      <c r="L4">
        <v>0.75654940517896685</v>
      </c>
      <c r="M4">
        <v>3.8345576562347314E-2</v>
      </c>
      <c r="N4">
        <v>0</v>
      </c>
    </row>
    <row r="5" spans="1:14" x14ac:dyDescent="0.25">
      <c r="A5" s="16">
        <v>2016</v>
      </c>
      <c r="B5" s="16" t="s">
        <v>13</v>
      </c>
      <c r="C5" s="18">
        <v>12.709876675502672</v>
      </c>
      <c r="D5" s="18">
        <v>2.7758716516436327E-2</v>
      </c>
      <c r="E5" s="18">
        <v>0.8637531503370407</v>
      </c>
      <c r="F5" s="25">
        <v>3.2958368660043291</v>
      </c>
      <c r="G5">
        <v>21.971367913770589</v>
      </c>
      <c r="H5">
        <v>1.3862943611198906</v>
      </c>
      <c r="I5">
        <v>0</v>
      </c>
      <c r="J5">
        <v>-1.9770203606713399E-3</v>
      </c>
      <c r="K5">
        <v>9.5516302342235002E-2</v>
      </c>
      <c r="L5">
        <v>0.76688089074480725</v>
      </c>
      <c r="M5">
        <v>4.8386730342074483E-2</v>
      </c>
      <c r="N5">
        <v>0</v>
      </c>
    </row>
    <row r="6" spans="1:14" x14ac:dyDescent="0.25">
      <c r="A6" s="16">
        <v>2017</v>
      </c>
      <c r="B6" s="16" t="s">
        <v>13</v>
      </c>
      <c r="C6" s="18">
        <v>12.89461423662611</v>
      </c>
      <c r="D6" s="18">
        <v>0.2029027102637152</v>
      </c>
      <c r="E6" s="18">
        <v>0.86585870719323699</v>
      </c>
      <c r="F6" s="25">
        <v>3.3322045101752038</v>
      </c>
      <c r="G6">
        <v>22.134799690358999</v>
      </c>
      <c r="H6">
        <v>1.6094379124341003</v>
      </c>
      <c r="I6">
        <v>1</v>
      </c>
      <c r="J6">
        <v>7.2300984526247197E-3</v>
      </c>
      <c r="K6">
        <v>8.7112477415660305E-2</v>
      </c>
      <c r="L6">
        <v>0.7725852559394556</v>
      </c>
      <c r="M6">
        <v>5.6175254300500771E-2</v>
      </c>
      <c r="N6">
        <v>3.4903647954671199E-2</v>
      </c>
    </row>
    <row r="7" spans="1:14" x14ac:dyDescent="0.25">
      <c r="A7" s="16">
        <v>2018</v>
      </c>
      <c r="B7" s="16" t="s">
        <v>13</v>
      </c>
      <c r="C7" s="18">
        <v>12.984807898996207</v>
      </c>
      <c r="D7" s="18">
        <v>9.4386204610183794E-2</v>
      </c>
      <c r="E7" s="18">
        <v>0.8889145600784234</v>
      </c>
      <c r="F7" s="25">
        <v>3.3672958299864741</v>
      </c>
      <c r="G7">
        <v>22.323492846559041</v>
      </c>
      <c r="H7">
        <v>1.791759469228055</v>
      </c>
      <c r="I7">
        <v>1</v>
      </c>
      <c r="J7">
        <v>9.4885206625437094E-3</v>
      </c>
      <c r="K7">
        <v>0.154147919161542</v>
      </c>
      <c r="L7">
        <v>0.77917133543491768</v>
      </c>
      <c r="M7">
        <v>6.2538941733384548E-2</v>
      </c>
      <c r="N7">
        <v>3.4903647954671199E-2</v>
      </c>
    </row>
    <row r="8" spans="1:14" x14ac:dyDescent="0.25">
      <c r="A8" s="16">
        <v>2019</v>
      </c>
      <c r="B8" s="16" t="s">
        <v>13</v>
      </c>
      <c r="C8" s="18">
        <v>13.256999464129576</v>
      </c>
      <c r="D8" s="18">
        <v>0.31283847130074377</v>
      </c>
      <c r="E8" s="18">
        <v>0.9139696478379018</v>
      </c>
      <c r="F8" s="25">
        <v>3.4011973816621555</v>
      </c>
      <c r="G8">
        <v>22.68990397563433</v>
      </c>
      <c r="H8">
        <v>1.9459101490553132</v>
      </c>
      <c r="I8">
        <v>1</v>
      </c>
      <c r="J8">
        <v>4.2613469886831797E-2</v>
      </c>
      <c r="K8">
        <v>0.161066975841893</v>
      </c>
      <c r="L8">
        <v>0.79196042049083504</v>
      </c>
      <c r="M8">
        <v>6.7919362794048407E-2</v>
      </c>
      <c r="N8">
        <v>3.4903647954671199E-2</v>
      </c>
    </row>
    <row r="9" spans="1:14" x14ac:dyDescent="0.25">
      <c r="A9" s="16">
        <v>2020</v>
      </c>
      <c r="B9" s="16" t="s">
        <v>13</v>
      </c>
      <c r="C9" s="18">
        <v>13.361165716275458</v>
      </c>
      <c r="D9" s="18">
        <v>0.10978494370768772</v>
      </c>
      <c r="E9" s="18">
        <v>0.91424296395938853</v>
      </c>
      <c r="F9" s="25">
        <v>3.4339872044851463</v>
      </c>
      <c r="G9">
        <v>22.8842582999889</v>
      </c>
      <c r="H9">
        <v>2.0794415416798357</v>
      </c>
      <c r="I9">
        <v>1</v>
      </c>
      <c r="J9">
        <v>2.8757033167798999E-3</v>
      </c>
      <c r="K9">
        <v>6.8276222441260803E-2</v>
      </c>
      <c r="L9">
        <v>0.79874409540657498</v>
      </c>
      <c r="M9">
        <v>7.2580095513111731E-2</v>
      </c>
      <c r="N9">
        <v>3.4903647954671199E-2</v>
      </c>
    </row>
    <row r="10" spans="1:14" x14ac:dyDescent="0.25">
      <c r="A10" s="16">
        <v>2021</v>
      </c>
      <c r="B10" s="16" t="s">
        <v>13</v>
      </c>
      <c r="C10" s="18">
        <v>13.506647068121962</v>
      </c>
      <c r="D10" s="18">
        <v>0.15659616599824602</v>
      </c>
      <c r="E10" s="18">
        <v>0.90979487495332145</v>
      </c>
      <c r="F10" s="25">
        <v>3.4657359027997265</v>
      </c>
      <c r="G10">
        <v>23.185582998456059</v>
      </c>
      <c r="H10">
        <v>2.1972245773362196</v>
      </c>
      <c r="I10">
        <v>1</v>
      </c>
      <c r="J10">
        <v>3.9941632176517403E-2</v>
      </c>
      <c r="K10">
        <v>0.121677900120293</v>
      </c>
      <c r="L10">
        <v>0.80926142660192013</v>
      </c>
      <c r="M10">
        <v>7.6691153124694628E-2</v>
      </c>
      <c r="N10">
        <v>3.4903647954671199E-2</v>
      </c>
    </row>
    <row r="11" spans="1:14" x14ac:dyDescent="0.25">
      <c r="A11" s="16">
        <v>2022</v>
      </c>
      <c r="B11" s="16" t="s">
        <v>13</v>
      </c>
      <c r="C11" s="18">
        <v>13.924126369392773</v>
      </c>
      <c r="D11" s="18">
        <v>0.51812998021193524</v>
      </c>
      <c r="E11" s="18">
        <v>0.91474725734088114</v>
      </c>
      <c r="F11" s="25">
        <v>3.4965075614664802</v>
      </c>
      <c r="G11">
        <v>23.429468265300869</v>
      </c>
      <c r="H11">
        <v>2.3025850929940459</v>
      </c>
      <c r="I11">
        <v>1</v>
      </c>
      <c r="J11">
        <v>3.7961669392930802E-2</v>
      </c>
      <c r="K11">
        <v>0.12564916898668299</v>
      </c>
      <c r="L11">
        <v>0.8177739120972024</v>
      </c>
      <c r="M11">
        <v>8.0368619471538019E-2</v>
      </c>
      <c r="N11">
        <v>3.4903647954671199E-2</v>
      </c>
    </row>
    <row r="12" spans="1:14" x14ac:dyDescent="0.25">
      <c r="A12" s="16">
        <v>2013</v>
      </c>
      <c r="B12" s="16" t="s">
        <v>6</v>
      </c>
      <c r="C12" s="18">
        <v>11.782914433515943</v>
      </c>
      <c r="D12" s="18">
        <v>0.17180581273649465</v>
      </c>
      <c r="E12" s="18">
        <v>1.2219753962264806E-3</v>
      </c>
      <c r="F12" s="25">
        <v>3.4339872044851463</v>
      </c>
      <c r="G12">
        <v>20.731511914404209</v>
      </c>
      <c r="H12">
        <v>1.3862943611198906</v>
      </c>
      <c r="I12">
        <v>0</v>
      </c>
      <c r="J12">
        <v>-1.46201455351692E-2</v>
      </c>
      <c r="K12">
        <v>1.4477714621864699E-3</v>
      </c>
      <c r="L12">
        <v>0.72360539342843611</v>
      </c>
      <c r="M12">
        <v>4.8386730342074483E-2</v>
      </c>
      <c r="N12">
        <v>0</v>
      </c>
    </row>
    <row r="13" spans="1:14" x14ac:dyDescent="0.25">
      <c r="A13" s="16">
        <v>2014</v>
      </c>
      <c r="B13" s="16" t="s">
        <v>6</v>
      </c>
      <c r="C13" s="18">
        <v>11.909262370851522</v>
      </c>
      <c r="D13" s="18">
        <v>0.13467689606473529</v>
      </c>
      <c r="E13" s="18">
        <v>6.0245814329032889E-3</v>
      </c>
      <c r="F13" s="25">
        <v>3.4657359027997265</v>
      </c>
      <c r="G13">
        <v>20.879726518663709</v>
      </c>
      <c r="H13">
        <v>1.6094379124341003</v>
      </c>
      <c r="I13">
        <v>0</v>
      </c>
      <c r="J13">
        <v>-2.5429272168505301E-3</v>
      </c>
      <c r="K13">
        <v>2.54344161518473E-2</v>
      </c>
      <c r="L13">
        <v>0.72877862379725056</v>
      </c>
      <c r="M13">
        <v>5.6175254300500771E-2</v>
      </c>
      <c r="N13">
        <v>0</v>
      </c>
    </row>
    <row r="14" spans="1:14" x14ac:dyDescent="0.25">
      <c r="A14" s="16">
        <v>2015</v>
      </c>
      <c r="B14" s="16" t="s">
        <v>6</v>
      </c>
      <c r="C14" s="18">
        <v>11.934972332670071</v>
      </c>
      <c r="D14" s="18">
        <v>2.6043313576027502E-2</v>
      </c>
      <c r="E14" s="18">
        <v>7.9477648876421364E-3</v>
      </c>
      <c r="F14" s="25">
        <v>3.4965075614664802</v>
      </c>
      <c r="G14">
        <v>20.871284188999098</v>
      </c>
      <c r="H14">
        <v>1.791759469228055</v>
      </c>
      <c r="I14">
        <v>1</v>
      </c>
      <c r="J14">
        <v>-1.9094937806193499E-3</v>
      </c>
      <c r="K14">
        <v>2.7747913368359401E-2</v>
      </c>
      <c r="L14">
        <v>0.72848395569471969</v>
      </c>
      <c r="M14">
        <v>6.2538941733384548E-2</v>
      </c>
      <c r="N14">
        <v>3.4903647954671199E-2</v>
      </c>
    </row>
    <row r="15" spans="1:14" x14ac:dyDescent="0.25">
      <c r="A15" s="16">
        <v>2016</v>
      </c>
      <c r="B15" s="16" t="s">
        <v>6</v>
      </c>
      <c r="C15" s="18">
        <v>12.080237276682961</v>
      </c>
      <c r="D15" s="18">
        <v>0.15634589660870249</v>
      </c>
      <c r="E15" s="18">
        <v>9.6387285662592696E-3</v>
      </c>
      <c r="F15" s="25">
        <v>3.5263605246161616</v>
      </c>
      <c r="G15">
        <v>20.88264119690286</v>
      </c>
      <c r="H15">
        <v>1.9459101490553132</v>
      </c>
      <c r="I15">
        <v>1</v>
      </c>
      <c r="J15">
        <v>3.60207079658327E-4</v>
      </c>
      <c r="K15">
        <v>1.06781290149843E-2</v>
      </c>
      <c r="L15">
        <v>0.72888035670041107</v>
      </c>
      <c r="M15">
        <v>6.7919362794048407E-2</v>
      </c>
      <c r="N15">
        <v>3.4903647954671199E-2</v>
      </c>
    </row>
    <row r="16" spans="1:14" x14ac:dyDescent="0.25">
      <c r="A16" s="16">
        <v>2017</v>
      </c>
      <c r="B16" s="16" t="s">
        <v>6</v>
      </c>
      <c r="C16" s="18">
        <v>12.042853470918006</v>
      </c>
      <c r="D16" s="18">
        <v>-3.6693658138268914E-2</v>
      </c>
      <c r="E16" s="18">
        <v>1.5134126052360508E-2</v>
      </c>
      <c r="F16" s="25">
        <v>3.5553480614894135</v>
      </c>
      <c r="G16">
        <v>20.894003184292561</v>
      </c>
      <c r="H16">
        <v>2.0794415416798357</v>
      </c>
      <c r="I16">
        <v>1</v>
      </c>
      <c r="J16">
        <v>9.6033284649978297E-3</v>
      </c>
      <c r="K16">
        <v>1.6446861286728998E-2</v>
      </c>
      <c r="L16">
        <v>0.72927693150832662</v>
      </c>
      <c r="M16">
        <v>7.2580095513111731E-2</v>
      </c>
      <c r="N16">
        <v>3.4903647954671199E-2</v>
      </c>
    </row>
    <row r="17" spans="1:14" x14ac:dyDescent="0.25">
      <c r="A17" s="16">
        <v>2018</v>
      </c>
      <c r="B17" s="16" t="s">
        <v>6</v>
      </c>
      <c r="C17" s="18">
        <v>12.085310802629516</v>
      </c>
      <c r="D17" s="18">
        <v>4.3371536546170555E-2</v>
      </c>
      <c r="E17" s="18">
        <v>1.2696413654713377E-2</v>
      </c>
      <c r="F17" s="25">
        <v>3.5835189384561099</v>
      </c>
      <c r="G17">
        <v>21.081847577193031</v>
      </c>
      <c r="H17">
        <v>2.1972245773362196</v>
      </c>
      <c r="I17">
        <v>1</v>
      </c>
      <c r="J17">
        <v>1.05666207685164E-2</v>
      </c>
      <c r="K17">
        <v>1.0850142808253201E-2</v>
      </c>
      <c r="L17">
        <v>0.73583338606838355</v>
      </c>
      <c r="M17">
        <v>7.6691153124694628E-2</v>
      </c>
      <c r="N17">
        <v>3.4903647954671199E-2</v>
      </c>
    </row>
    <row r="18" spans="1:14" x14ac:dyDescent="0.25">
      <c r="A18" s="16">
        <v>2019</v>
      </c>
      <c r="B18" s="16" t="s">
        <v>6</v>
      </c>
      <c r="C18" s="18">
        <v>12.107632186509949</v>
      </c>
      <c r="D18" s="18">
        <v>2.2578139104531464E-2</v>
      </c>
      <c r="E18" s="18">
        <v>1.5522771184142763E-2</v>
      </c>
      <c r="F18" s="25">
        <v>3.6109179126442243</v>
      </c>
      <c r="G18">
        <v>21.235194329329179</v>
      </c>
      <c r="H18">
        <v>2.3025850929940459</v>
      </c>
      <c r="I18">
        <v>1</v>
      </c>
      <c r="J18">
        <v>9.8986208270257607E-3</v>
      </c>
      <c r="K18">
        <v>9.4892485458142502E-4</v>
      </c>
      <c r="L18">
        <v>0.74118574711993579</v>
      </c>
      <c r="M18">
        <v>8.0368619471538019E-2</v>
      </c>
      <c r="N18">
        <v>3.4903647954671199E-2</v>
      </c>
    </row>
    <row r="19" spans="1:14" x14ac:dyDescent="0.25">
      <c r="A19" s="16">
        <v>2020</v>
      </c>
      <c r="B19" s="16" t="s">
        <v>6</v>
      </c>
      <c r="C19" s="18">
        <v>12.19789429379429</v>
      </c>
      <c r="D19" s="18">
        <v>9.4461112343602049E-2</v>
      </c>
      <c r="E19" s="18">
        <v>1.8500627469223055E-2</v>
      </c>
      <c r="F19" s="25">
        <v>3.6375861597263857</v>
      </c>
      <c r="G19">
        <v>21.44519165724784</v>
      </c>
      <c r="H19">
        <v>0</v>
      </c>
      <c r="I19">
        <v>0</v>
      </c>
      <c r="J19">
        <v>-1.2013812773747599E-2</v>
      </c>
      <c r="K19">
        <v>2.41822980191094E-4</v>
      </c>
      <c r="L19">
        <v>0.74851541992503046</v>
      </c>
      <c r="M19">
        <v>0</v>
      </c>
      <c r="N19">
        <v>0</v>
      </c>
    </row>
    <row r="20" spans="1:14" x14ac:dyDescent="0.25">
      <c r="A20" s="16">
        <v>2021</v>
      </c>
      <c r="B20" s="16" t="s">
        <v>6</v>
      </c>
      <c r="C20" s="18">
        <v>12.264398155825802</v>
      </c>
      <c r="D20" s="18">
        <v>6.8765091671665723E-2</v>
      </c>
      <c r="E20" s="18">
        <v>5.3253816503396209E-2</v>
      </c>
      <c r="F20" s="25">
        <v>3.6635616461296463</v>
      </c>
      <c r="G20">
        <v>21.636831912312921</v>
      </c>
      <c r="H20">
        <v>0.69314718055994529</v>
      </c>
      <c r="I20">
        <v>0</v>
      </c>
      <c r="J20">
        <v>4.8852820259003905E-4</v>
      </c>
      <c r="K20">
        <v>4.7357170476142201E-4</v>
      </c>
      <c r="L20">
        <v>0.75520436392176538</v>
      </c>
      <c r="M20">
        <v>2.4193365171037241E-2</v>
      </c>
      <c r="N20">
        <v>0</v>
      </c>
    </row>
    <row r="21" spans="1:14" x14ac:dyDescent="0.25">
      <c r="A21" s="16">
        <v>2022</v>
      </c>
      <c r="B21" s="16" t="s">
        <v>6</v>
      </c>
      <c r="C21" s="18">
        <v>12.553138570362256</v>
      </c>
      <c r="D21" s="18">
        <v>0.33474520310171124</v>
      </c>
      <c r="E21" s="18">
        <v>6.1574122267935572E-2</v>
      </c>
      <c r="F21" s="25">
        <v>3.6888794541139363</v>
      </c>
      <c r="G21">
        <v>21.81621296116391</v>
      </c>
      <c r="H21">
        <v>1.0986122886681098</v>
      </c>
      <c r="I21">
        <v>0</v>
      </c>
      <c r="J21">
        <v>-1.1709109893485999E-2</v>
      </c>
      <c r="K21">
        <v>2.5394620704950999E-3</v>
      </c>
      <c r="L21">
        <v>0.76146541690059999</v>
      </c>
      <c r="M21">
        <v>3.8345576562347314E-2</v>
      </c>
      <c r="N21">
        <v>0</v>
      </c>
    </row>
    <row r="22" spans="1:14" x14ac:dyDescent="0.25">
      <c r="A22" s="16">
        <v>2013</v>
      </c>
      <c r="B22" s="16" t="s">
        <v>11</v>
      </c>
      <c r="C22" s="18">
        <v>11.751296487615205</v>
      </c>
      <c r="D22" s="18">
        <v>6.5311364227737811E-2</v>
      </c>
      <c r="E22" s="18">
        <v>0.84882313171176549</v>
      </c>
      <c r="F22" s="25">
        <v>3.2188758248682006</v>
      </c>
      <c r="G22">
        <v>20.801353095513399</v>
      </c>
      <c r="H22">
        <v>1.0986122886681098</v>
      </c>
      <c r="I22">
        <v>0</v>
      </c>
      <c r="J22">
        <v>-1.8152324618151999E-2</v>
      </c>
      <c r="K22">
        <v>9.3682110744645497E-2</v>
      </c>
      <c r="L22">
        <v>0.72604310542660966</v>
      </c>
      <c r="M22">
        <v>3.8345576562347314E-2</v>
      </c>
      <c r="N22">
        <v>0</v>
      </c>
    </row>
    <row r="23" spans="1:14" x14ac:dyDescent="0.25">
      <c r="A23" s="16">
        <v>2014</v>
      </c>
      <c r="B23" s="16" t="s">
        <v>11</v>
      </c>
      <c r="C23" s="18">
        <v>11.821101102436328</v>
      </c>
      <c r="D23" s="18">
        <v>7.2298649521738451E-2</v>
      </c>
      <c r="E23" s="18">
        <v>0.85416398138202654</v>
      </c>
      <c r="F23" s="25">
        <v>3.2580965380214821</v>
      </c>
      <c r="G23">
        <v>20.894716013851731</v>
      </c>
      <c r="H23">
        <v>1.3862943611198906</v>
      </c>
      <c r="I23">
        <v>0</v>
      </c>
      <c r="J23">
        <v>3.8058622771788897E-2</v>
      </c>
      <c r="K23">
        <v>6.4913660165874104E-2</v>
      </c>
      <c r="L23">
        <v>0.72930181186031151</v>
      </c>
      <c r="M23">
        <v>4.8386730342074483E-2</v>
      </c>
      <c r="N23">
        <v>0</v>
      </c>
    </row>
    <row r="24" spans="1:14" x14ac:dyDescent="0.25">
      <c r="A24" s="16">
        <v>2015</v>
      </c>
      <c r="B24" s="16" t="s">
        <v>11</v>
      </c>
      <c r="C24" s="18">
        <v>11.897834061682993</v>
      </c>
      <c r="D24" s="18">
        <v>7.9753699648772172E-2</v>
      </c>
      <c r="E24" s="18">
        <v>0.85100858797683243</v>
      </c>
      <c r="F24" s="25">
        <v>3.2958368660043291</v>
      </c>
      <c r="G24">
        <v>20.931679027244449</v>
      </c>
      <c r="H24">
        <v>1.6094379124341003</v>
      </c>
      <c r="I24">
        <v>1</v>
      </c>
      <c r="J24">
        <v>3.4780841250387197E-2</v>
      </c>
      <c r="K24">
        <v>2.31561623695971E-2</v>
      </c>
      <c r="L24">
        <v>0.73059195586711478</v>
      </c>
      <c r="M24">
        <v>5.6175254300500771E-2</v>
      </c>
      <c r="N24">
        <v>3.4903647954671199E-2</v>
      </c>
    </row>
    <row r="25" spans="1:14" x14ac:dyDescent="0.25">
      <c r="A25" s="16">
        <v>2016</v>
      </c>
      <c r="B25" s="16" t="s">
        <v>11</v>
      </c>
      <c r="C25" s="18">
        <v>11.931773948180227</v>
      </c>
      <c r="D25" s="18">
        <v>3.4522416092767509E-2</v>
      </c>
      <c r="E25" s="18">
        <v>0.8571788426680923</v>
      </c>
      <c r="F25" s="25">
        <v>3.3322045101752038</v>
      </c>
      <c r="G25">
        <v>20.984199077988119</v>
      </c>
      <c r="H25">
        <v>1.791759469228055</v>
      </c>
      <c r="I25">
        <v>1</v>
      </c>
      <c r="J25">
        <v>2.3736357456602401E-2</v>
      </c>
      <c r="K25">
        <v>6.3396946629826603E-2</v>
      </c>
      <c r="L25">
        <v>0.73242509722883331</v>
      </c>
      <c r="M25">
        <v>6.2538941733384548E-2</v>
      </c>
      <c r="N25">
        <v>3.4903647954671199E-2</v>
      </c>
    </row>
    <row r="26" spans="1:14" x14ac:dyDescent="0.25">
      <c r="A26" s="16">
        <v>2017</v>
      </c>
      <c r="B26" s="16" t="s">
        <v>11</v>
      </c>
      <c r="C26" s="18">
        <v>12.100134185116669</v>
      </c>
      <c r="D26" s="18">
        <v>0.18336282487287942</v>
      </c>
      <c r="E26" s="18">
        <v>0.85258632815502167</v>
      </c>
      <c r="F26" s="25">
        <v>3.3672958299864741</v>
      </c>
      <c r="G26">
        <v>21.044779608634251</v>
      </c>
      <c r="H26">
        <v>1.9459101490553132</v>
      </c>
      <c r="I26">
        <v>1</v>
      </c>
      <c r="J26">
        <v>1.2669061708075699E-2</v>
      </c>
      <c r="K26">
        <v>8.6928867646312802E-2</v>
      </c>
      <c r="L26">
        <v>0.73453957874341302</v>
      </c>
      <c r="M26">
        <v>6.7919362794048407E-2</v>
      </c>
      <c r="N26">
        <v>3.4903647954671199E-2</v>
      </c>
    </row>
    <row r="27" spans="1:14" x14ac:dyDescent="0.25">
      <c r="A27" s="16">
        <v>2018</v>
      </c>
      <c r="B27" s="16" t="s">
        <v>11</v>
      </c>
      <c r="C27" s="18">
        <v>12.149528748718307</v>
      </c>
      <c r="D27" s="18">
        <v>4.8606333636625906E-2</v>
      </c>
      <c r="E27" s="18">
        <v>0.88695975249479175</v>
      </c>
      <c r="F27" s="25">
        <v>3.4011973816621555</v>
      </c>
      <c r="G27">
        <v>21.265522102202269</v>
      </c>
      <c r="H27">
        <v>2.0794415416798357</v>
      </c>
      <c r="I27">
        <v>0</v>
      </c>
      <c r="J27">
        <v>1.06987934991117E-2</v>
      </c>
      <c r="K27">
        <v>8.7581303896909091E-3</v>
      </c>
      <c r="L27">
        <v>0.74224429702754735</v>
      </c>
      <c r="M27">
        <v>7.2580095513111731E-2</v>
      </c>
      <c r="N27">
        <v>0</v>
      </c>
    </row>
    <row r="28" spans="1:14" x14ac:dyDescent="0.25">
      <c r="A28" s="16">
        <v>2019</v>
      </c>
      <c r="B28" s="16" t="s">
        <v>11</v>
      </c>
      <c r="C28" s="18">
        <v>12.292300799213825</v>
      </c>
      <c r="D28" s="18">
        <v>0.15346683950160048</v>
      </c>
      <c r="E28" s="18">
        <v>0.88929711258601429</v>
      </c>
      <c r="F28" s="25">
        <v>3.4339872044851463</v>
      </c>
      <c r="G28">
        <v>21.471865226606479</v>
      </c>
      <c r="H28">
        <v>2.1972245773362196</v>
      </c>
      <c r="I28">
        <v>0</v>
      </c>
      <c r="J28">
        <v>-3.7763854747165002E-3</v>
      </c>
      <c r="K28">
        <v>0.10307566786377</v>
      </c>
      <c r="L28">
        <v>0.74944642479961887</v>
      </c>
      <c r="M28">
        <v>7.6691153124694628E-2</v>
      </c>
      <c r="N28">
        <v>0</v>
      </c>
    </row>
    <row r="29" spans="1:14" x14ac:dyDescent="0.25">
      <c r="A29" s="16">
        <v>2020</v>
      </c>
      <c r="B29" s="16" t="s">
        <v>11</v>
      </c>
      <c r="C29" s="18">
        <v>12.23662124901894</v>
      </c>
      <c r="D29" s="18">
        <v>-5.4157817724793701E-2</v>
      </c>
      <c r="E29" s="18">
        <v>0.90082729425687091</v>
      </c>
      <c r="F29" s="25">
        <v>3.4657359027997265</v>
      </c>
      <c r="G29">
        <v>21.737825276951732</v>
      </c>
      <c r="H29">
        <v>2.3025850929940459</v>
      </c>
      <c r="I29">
        <v>0</v>
      </c>
      <c r="J29">
        <v>-2.0817342722819201E-3</v>
      </c>
      <c r="K29">
        <v>4.6414908909073199E-4</v>
      </c>
      <c r="L29">
        <v>0.75872940076687623</v>
      </c>
      <c r="M29">
        <v>8.0368619471538019E-2</v>
      </c>
      <c r="N29">
        <v>0</v>
      </c>
    </row>
    <row r="30" spans="1:14" x14ac:dyDescent="0.25">
      <c r="A30" s="16">
        <v>2021</v>
      </c>
      <c r="B30" s="16" t="s">
        <v>11</v>
      </c>
      <c r="C30" s="18">
        <v>12.223745555607346</v>
      </c>
      <c r="D30" s="18">
        <v>-1.279315629182751E-2</v>
      </c>
      <c r="E30" s="18">
        <v>0.90947837028295364</v>
      </c>
      <c r="F30" s="25">
        <v>3.4965075614664802</v>
      </c>
      <c r="G30">
        <v>21.913995030521018</v>
      </c>
      <c r="H30">
        <v>0</v>
      </c>
      <c r="I30">
        <v>0</v>
      </c>
      <c r="J30">
        <v>-1.4629294387296301E-3</v>
      </c>
      <c r="K30">
        <v>0.114552532750602</v>
      </c>
      <c r="L30">
        <v>0.76487836782571972</v>
      </c>
      <c r="M30">
        <v>0</v>
      </c>
      <c r="N30">
        <v>0</v>
      </c>
    </row>
    <row r="31" spans="1:14" x14ac:dyDescent="0.25">
      <c r="A31" s="16">
        <v>2022</v>
      </c>
      <c r="B31" s="16" t="s">
        <v>11</v>
      </c>
      <c r="C31" s="18">
        <v>12.596688040388003</v>
      </c>
      <c r="D31" s="18">
        <v>0.4520008252851655</v>
      </c>
      <c r="E31" s="18">
        <v>0.92119345932786811</v>
      </c>
      <c r="F31" s="25">
        <v>3.5263605246161616</v>
      </c>
      <c r="G31">
        <v>22.1068086660717</v>
      </c>
      <c r="H31">
        <v>0.69314718055994529</v>
      </c>
      <c r="I31">
        <v>0</v>
      </c>
      <c r="J31">
        <v>-1.12558393768998E-2</v>
      </c>
      <c r="K31">
        <v>2.5431608333558599E-2</v>
      </c>
      <c r="L31">
        <v>0.77160826708184105</v>
      </c>
      <c r="M31">
        <v>2.4193365171037241E-2</v>
      </c>
      <c r="N31">
        <v>0</v>
      </c>
    </row>
    <row r="32" spans="1:14" x14ac:dyDescent="0.25">
      <c r="A32" s="16">
        <v>2013</v>
      </c>
      <c r="B32" s="16" t="s">
        <v>9</v>
      </c>
      <c r="C32" s="18">
        <v>19.307192494667376</v>
      </c>
      <c r="D32" s="18">
        <v>8.7867375449972779E-2</v>
      </c>
      <c r="E32" s="18">
        <v>0.82689949490507419</v>
      </c>
      <c r="F32" s="25">
        <v>3.1354942159291497</v>
      </c>
      <c r="G32">
        <v>21.46655769961632</v>
      </c>
      <c r="H32">
        <v>1.0986122886681098</v>
      </c>
      <c r="I32">
        <v>0</v>
      </c>
      <c r="J32">
        <v>3.1960174355516102E-3</v>
      </c>
      <c r="K32">
        <v>0.13282649291388601</v>
      </c>
      <c r="L32">
        <v>0.74926117274604442</v>
      </c>
      <c r="M32">
        <v>3.8345576562347314E-2</v>
      </c>
      <c r="N32">
        <v>0</v>
      </c>
    </row>
    <row r="33" spans="1:14" x14ac:dyDescent="0.25">
      <c r="A33" s="16">
        <v>2014</v>
      </c>
      <c r="B33" s="16" t="s">
        <v>9</v>
      </c>
      <c r="C33" s="18">
        <v>19.445003350625186</v>
      </c>
      <c r="D33" s="18">
        <v>0.14775843807165095</v>
      </c>
      <c r="E33" s="18">
        <v>0.8262348905932424</v>
      </c>
      <c r="F33" s="25">
        <v>3.1780538303479458</v>
      </c>
      <c r="G33">
        <v>21.580178693043202</v>
      </c>
      <c r="H33">
        <v>1.3862943611198906</v>
      </c>
      <c r="I33">
        <v>0</v>
      </c>
      <c r="J33">
        <v>-1.24642947478145E-2</v>
      </c>
      <c r="K33">
        <v>4.9531923188091296E-3</v>
      </c>
      <c r="L33">
        <v>0.75322695990087629</v>
      </c>
      <c r="M33">
        <v>4.8386730342074483E-2</v>
      </c>
      <c r="N33">
        <v>0</v>
      </c>
    </row>
    <row r="34" spans="1:14" x14ac:dyDescent="0.25">
      <c r="A34" s="16">
        <v>2015</v>
      </c>
      <c r="B34" s="16" t="s">
        <v>9</v>
      </c>
      <c r="C34" s="18">
        <v>19.525441130938958</v>
      </c>
      <c r="D34" s="18">
        <v>8.3761413249352351E-2</v>
      </c>
      <c r="E34" s="18">
        <v>0.8219164279567569</v>
      </c>
      <c r="F34" s="25">
        <v>3.2188758248682006</v>
      </c>
      <c r="G34">
        <v>21.649345979400032</v>
      </c>
      <c r="H34">
        <v>1.6094379124341003</v>
      </c>
      <c r="I34">
        <v>1</v>
      </c>
      <c r="J34">
        <v>-5.1460004575093303E-3</v>
      </c>
      <c r="K34">
        <v>5.8001605497483698E-2</v>
      </c>
      <c r="L34">
        <v>0.75564115051385505</v>
      </c>
      <c r="M34">
        <v>5.6175254300500771E-2</v>
      </c>
      <c r="N34">
        <v>3.4903647954671199E-2</v>
      </c>
    </row>
    <row r="35" spans="1:14" x14ac:dyDescent="0.25">
      <c r="A35" s="16">
        <v>2016</v>
      </c>
      <c r="B35" s="16" t="s">
        <v>9</v>
      </c>
      <c r="C35" s="18">
        <v>19.094405310801822</v>
      </c>
      <c r="D35" s="18">
        <v>0.18706576908459188</v>
      </c>
      <c r="E35" s="18">
        <v>0.81750639430939975</v>
      </c>
      <c r="F35" s="25">
        <v>3.2580965380214821</v>
      </c>
      <c r="G35">
        <v>21.859942221104941</v>
      </c>
      <c r="H35">
        <v>1.791759469228055</v>
      </c>
      <c r="I35">
        <v>1</v>
      </c>
      <c r="J35">
        <v>2.2181183655635799E-2</v>
      </c>
      <c r="K35">
        <v>4.9432591630261202E-2</v>
      </c>
      <c r="L35">
        <v>0.76299172759490008</v>
      </c>
      <c r="M35">
        <v>6.2538941733384548E-2</v>
      </c>
      <c r="N35">
        <v>3.4903647954671199E-2</v>
      </c>
    </row>
    <row r="36" spans="1:14" x14ac:dyDescent="0.25">
      <c r="A36" s="16">
        <v>2017</v>
      </c>
      <c r="B36" s="16" t="s">
        <v>9</v>
      </c>
      <c r="C36" s="18">
        <v>19.853921358377693</v>
      </c>
      <c r="D36" s="18">
        <v>2.1372416468988451</v>
      </c>
      <c r="E36" s="18">
        <v>0.79314723870837411</v>
      </c>
      <c r="F36" s="25">
        <v>3.2958368660043291</v>
      </c>
      <c r="G36">
        <v>21.93255349010802</v>
      </c>
      <c r="H36">
        <v>1.9459101490553132</v>
      </c>
      <c r="I36">
        <v>1</v>
      </c>
      <c r="J36">
        <v>-0.99977643654131398</v>
      </c>
      <c r="K36">
        <v>6.4987191361333005E-2</v>
      </c>
      <c r="L36">
        <v>0.76552612576572543</v>
      </c>
      <c r="M36">
        <v>6.7919362794048407E-2</v>
      </c>
      <c r="N36">
        <v>3.4903647954671199E-2</v>
      </c>
    </row>
    <row r="37" spans="1:14" x14ac:dyDescent="0.25">
      <c r="A37" s="16">
        <v>2018</v>
      </c>
      <c r="B37" s="16" t="s">
        <v>9</v>
      </c>
      <c r="C37" s="18">
        <v>19.890060798932758</v>
      </c>
      <c r="D37" s="18">
        <v>3.6800408436235617E-2</v>
      </c>
      <c r="E37" s="18">
        <v>0.81130388823381616</v>
      </c>
      <c r="F37" s="25">
        <v>3.3322045101752038</v>
      </c>
      <c r="G37">
        <v>21.913345367449171</v>
      </c>
      <c r="H37">
        <v>2.0794415416798357</v>
      </c>
      <c r="I37">
        <v>1</v>
      </c>
      <c r="J37">
        <v>-6.6337319689567199E-3</v>
      </c>
      <c r="K37">
        <v>4.3936092830770199E-3</v>
      </c>
      <c r="L37">
        <v>0.76485569221457084</v>
      </c>
      <c r="M37">
        <v>7.2580095513111731E-2</v>
      </c>
      <c r="N37">
        <v>3.4903647954671199E-2</v>
      </c>
    </row>
    <row r="38" spans="1:14" x14ac:dyDescent="0.25">
      <c r="A38" s="16">
        <v>2019</v>
      </c>
      <c r="B38" s="16" t="s">
        <v>9</v>
      </c>
      <c r="C38" s="18">
        <v>19.891561032828193</v>
      </c>
      <c r="D38" s="18">
        <v>1.501359809278539E-3</v>
      </c>
      <c r="E38" s="18">
        <v>0.80437811270935822</v>
      </c>
      <c r="F38" s="25">
        <v>3.3672958299864741</v>
      </c>
      <c r="G38">
        <v>22.047397191824359</v>
      </c>
      <c r="H38">
        <v>2.1972245773362196</v>
      </c>
      <c r="I38">
        <v>1</v>
      </c>
      <c r="J38">
        <v>-1.0192807768824801E-2</v>
      </c>
      <c r="K38">
        <v>2.39946960308392E-3</v>
      </c>
      <c r="L38">
        <v>0.76953458990024382</v>
      </c>
      <c r="M38">
        <v>7.6691153124694628E-2</v>
      </c>
      <c r="N38">
        <v>3.4903647954671199E-2</v>
      </c>
    </row>
    <row r="39" spans="1:14" x14ac:dyDescent="0.25">
      <c r="A39" s="16">
        <v>2020</v>
      </c>
      <c r="B39" s="16" t="s">
        <v>9</v>
      </c>
      <c r="C39" s="18">
        <v>19.93631281429855</v>
      </c>
      <c r="D39" s="18">
        <v>4.5768248632863988E-2</v>
      </c>
      <c r="E39" s="18">
        <v>0.82706094201837332</v>
      </c>
      <c r="F39" s="25">
        <v>3.4011973816621555</v>
      </c>
      <c r="G39">
        <v>22.32157268692405</v>
      </c>
      <c r="H39">
        <v>2.3025850929940459</v>
      </c>
      <c r="I39">
        <v>1</v>
      </c>
      <c r="J39">
        <v>-6.6730573277047397E-3</v>
      </c>
      <c r="K39">
        <v>3.1375841171818998E-2</v>
      </c>
      <c r="L39">
        <v>0.77910431485900111</v>
      </c>
      <c r="M39">
        <v>8.0368619471538019E-2</v>
      </c>
      <c r="N39">
        <v>3.4903647954671199E-2</v>
      </c>
    </row>
    <row r="40" spans="1:14" x14ac:dyDescent="0.25">
      <c r="A40" s="16">
        <v>2021</v>
      </c>
      <c r="B40" s="16" t="s">
        <v>9</v>
      </c>
      <c r="C40" s="18">
        <v>19.919700003225763</v>
      </c>
      <c r="D40" s="18">
        <v>-1.6475579312906913E-2</v>
      </c>
      <c r="E40" s="18">
        <v>4.2278195467167184E-2</v>
      </c>
      <c r="F40" s="25">
        <v>3.4339872044851463</v>
      </c>
      <c r="G40">
        <v>22.416315771220471</v>
      </c>
      <c r="H40">
        <v>0</v>
      </c>
      <c r="I40">
        <v>0</v>
      </c>
      <c r="J40">
        <v>-1.6638385745994199E-2</v>
      </c>
      <c r="K40">
        <v>1.8478458308663299E-2</v>
      </c>
      <c r="L40">
        <v>0.78241119411942317</v>
      </c>
      <c r="M40">
        <v>0</v>
      </c>
      <c r="N40">
        <v>0</v>
      </c>
    </row>
    <row r="41" spans="1:14" x14ac:dyDescent="0.25">
      <c r="A41" s="16">
        <v>2022</v>
      </c>
      <c r="B41" s="16" t="s">
        <v>9</v>
      </c>
      <c r="C41" s="18">
        <v>20.104826971298408</v>
      </c>
      <c r="D41" s="18">
        <v>0.20337122015289652</v>
      </c>
      <c r="E41" s="18">
        <v>0.15880666792434711</v>
      </c>
      <c r="F41" s="25">
        <v>3.4657359027997265</v>
      </c>
      <c r="G41">
        <v>22.586796425930931</v>
      </c>
      <c r="H41">
        <v>0.69314718055994529</v>
      </c>
      <c r="I41">
        <v>0</v>
      </c>
      <c r="J41">
        <v>-1.6656878370782901E-2</v>
      </c>
      <c r="K41">
        <v>1.4114063297663499</v>
      </c>
      <c r="L41">
        <v>0.78836159087451885</v>
      </c>
      <c r="M41">
        <v>2.4193365171037241E-2</v>
      </c>
      <c r="N41">
        <v>0</v>
      </c>
    </row>
    <row r="42" spans="1:14" x14ac:dyDescent="0.25">
      <c r="A42" s="16">
        <v>2013</v>
      </c>
      <c r="B42" s="16" t="s">
        <v>15</v>
      </c>
      <c r="C42" s="18">
        <v>11.619319446418272</v>
      </c>
      <c r="D42" s="18">
        <v>0.21082081428260396</v>
      </c>
      <c r="E42" s="18">
        <v>0.86708402773126569</v>
      </c>
      <c r="F42" s="25">
        <v>1.791759469228055</v>
      </c>
      <c r="G42">
        <v>20.452828875766979</v>
      </c>
      <c r="H42">
        <v>1.0986122886681098</v>
      </c>
      <c r="I42">
        <v>0</v>
      </c>
      <c r="J42">
        <v>-8.0541663443667397E-3</v>
      </c>
      <c r="K42">
        <v>1.79609813319348E-2</v>
      </c>
      <c r="L42">
        <v>0.71387833875690421</v>
      </c>
      <c r="M42">
        <v>3.8345576562347314E-2</v>
      </c>
      <c r="N42">
        <v>0</v>
      </c>
    </row>
    <row r="43" spans="1:14" x14ac:dyDescent="0.25">
      <c r="A43" s="16">
        <v>2014</v>
      </c>
      <c r="B43" s="16" t="s">
        <v>15</v>
      </c>
      <c r="C43" s="18">
        <v>11.780307886630112</v>
      </c>
      <c r="D43" s="18">
        <v>0.17467138978296443</v>
      </c>
      <c r="E43" s="18">
        <v>0.87234146460576756</v>
      </c>
      <c r="F43" s="25">
        <v>1.9459101490553132</v>
      </c>
      <c r="G43">
        <v>20.66621071188964</v>
      </c>
      <c r="H43">
        <v>1.3862943611198906</v>
      </c>
      <c r="I43">
        <v>0</v>
      </c>
      <c r="J43">
        <v>-4.2052389209692202E-3</v>
      </c>
      <c r="K43">
        <v>0.10696743651342699</v>
      </c>
      <c r="L43">
        <v>0.72132614324485089</v>
      </c>
      <c r="M43">
        <v>4.8386730342074483E-2</v>
      </c>
      <c r="N43">
        <v>0</v>
      </c>
    </row>
    <row r="44" spans="1:14" x14ac:dyDescent="0.25">
      <c r="A44" s="16">
        <v>2015</v>
      </c>
      <c r="B44" s="16" t="s">
        <v>15</v>
      </c>
      <c r="C44" s="18">
        <v>11.849590540139751</v>
      </c>
      <c r="D44" s="18">
        <v>7.1739097157377502E-2</v>
      </c>
      <c r="E44" s="18">
        <v>0.862444590449292</v>
      </c>
      <c r="F44" s="25">
        <v>2.0794415416798357</v>
      </c>
      <c r="G44">
        <v>20.658795580145441</v>
      </c>
      <c r="H44">
        <v>1.6094379124341003</v>
      </c>
      <c r="I44">
        <v>1</v>
      </c>
      <c r="J44">
        <v>-3.8626925339322899E-3</v>
      </c>
      <c r="K44">
        <v>0.102976836194351</v>
      </c>
      <c r="L44">
        <v>0.72106732809691376</v>
      </c>
      <c r="M44">
        <v>5.6175254300500771E-2</v>
      </c>
      <c r="N44">
        <v>3.4903647954671199E-2</v>
      </c>
    </row>
    <row r="45" spans="1:14" x14ac:dyDescent="0.25">
      <c r="A45" s="16">
        <v>2016</v>
      </c>
      <c r="B45" s="16" t="s">
        <v>15</v>
      </c>
      <c r="C45" s="18">
        <v>11.960331940866563</v>
      </c>
      <c r="D45" s="18">
        <v>0.1171059867025645</v>
      </c>
      <c r="E45" s="18">
        <v>0.86635507720287075</v>
      </c>
      <c r="F45" s="25">
        <v>2.1972245773362196</v>
      </c>
      <c r="G45">
        <v>20.775405622958811</v>
      </c>
      <c r="H45">
        <v>1.791759469228055</v>
      </c>
      <c r="I45">
        <v>1</v>
      </c>
      <c r="J45">
        <v>-2.4015485453567202E-3</v>
      </c>
      <c r="K45">
        <v>8.4891747529559802E-2</v>
      </c>
      <c r="L45">
        <v>0.72513744397925084</v>
      </c>
      <c r="M45">
        <v>6.2538941733384548E-2</v>
      </c>
      <c r="N45">
        <v>3.4903647954671199E-2</v>
      </c>
    </row>
    <row r="46" spans="1:14" x14ac:dyDescent="0.25">
      <c r="A46" s="16">
        <v>2017</v>
      </c>
      <c r="B46" s="16" t="s">
        <v>15</v>
      </c>
      <c r="C46" s="18">
        <v>12.022372138421096</v>
      </c>
      <c r="D46" s="18">
        <v>6.4005114272015343E-2</v>
      </c>
      <c r="E46" s="18">
        <v>0.89592322180284689</v>
      </c>
      <c r="F46" s="25">
        <v>2.3025850929940459</v>
      </c>
      <c r="G46">
        <v>21.04998783697998</v>
      </c>
      <c r="H46">
        <v>1.9459101490553132</v>
      </c>
      <c r="I46">
        <v>1</v>
      </c>
      <c r="J46">
        <v>-2.1850329235572601E-3</v>
      </c>
      <c r="K46">
        <v>2.1367089264113698E-2</v>
      </c>
      <c r="L46">
        <v>0.73472136491205986</v>
      </c>
      <c r="M46">
        <v>6.7919362794048407E-2</v>
      </c>
      <c r="N46">
        <v>3.4903647954671199E-2</v>
      </c>
    </row>
    <row r="47" spans="1:14" x14ac:dyDescent="0.25">
      <c r="A47" s="16">
        <v>2018</v>
      </c>
      <c r="B47" s="16" t="s">
        <v>15</v>
      </c>
      <c r="C47" s="18">
        <v>12.312052969067405</v>
      </c>
      <c r="D47" s="18">
        <v>0.33600100939094074</v>
      </c>
      <c r="E47" s="18">
        <v>0.85594000219996746</v>
      </c>
      <c r="F47" s="25">
        <v>2.3978952727983707</v>
      </c>
      <c r="G47">
        <v>21.192965670050771</v>
      </c>
      <c r="H47">
        <v>2.0794415416798357</v>
      </c>
      <c r="I47">
        <v>1</v>
      </c>
      <c r="J47">
        <v>-2.0637561392221398E-3</v>
      </c>
      <c r="K47">
        <v>7.1019252918635298E-2</v>
      </c>
      <c r="L47">
        <v>0.73971181286288457</v>
      </c>
      <c r="M47">
        <v>7.2580095513111731E-2</v>
      </c>
      <c r="N47">
        <v>3.4903647954671199E-2</v>
      </c>
    </row>
    <row r="48" spans="1:14" x14ac:dyDescent="0.25">
      <c r="A48" s="16">
        <v>2019</v>
      </c>
      <c r="B48" s="16" t="s">
        <v>15</v>
      </c>
      <c r="C48" s="18">
        <v>12.362255544714433</v>
      </c>
      <c r="D48" s="18">
        <v>5.1484079870480301E-2</v>
      </c>
      <c r="E48" s="18">
        <v>0.83893627135408455</v>
      </c>
      <c r="F48" s="25">
        <v>2.4849066497880004</v>
      </c>
      <c r="G48">
        <v>21.3526507283561</v>
      </c>
      <c r="H48">
        <v>2.1972245773362196</v>
      </c>
      <c r="I48">
        <v>1</v>
      </c>
      <c r="J48">
        <v>-1.28434017167735E-3</v>
      </c>
      <c r="K48">
        <v>6.9106334929131099E-3</v>
      </c>
      <c r="L48">
        <v>0.74528540392159481</v>
      </c>
      <c r="M48">
        <v>7.6691153124694628E-2</v>
      </c>
      <c r="N48">
        <v>3.4903647954671199E-2</v>
      </c>
    </row>
    <row r="49" spans="1:14" x14ac:dyDescent="0.25">
      <c r="A49" s="16">
        <v>2020</v>
      </c>
      <c r="B49" s="16" t="s">
        <v>15</v>
      </c>
      <c r="C49" s="18">
        <v>12.364980563165108</v>
      </c>
      <c r="D49" s="18">
        <v>2.7287346882912474E-3</v>
      </c>
      <c r="E49" s="18">
        <v>0.84772550120540269</v>
      </c>
      <c r="F49" s="25">
        <v>2.5649493574615367</v>
      </c>
      <c r="G49">
        <v>21.634063911760141</v>
      </c>
      <c r="H49">
        <v>2.3025850929940459</v>
      </c>
      <c r="I49">
        <v>1</v>
      </c>
      <c r="J49">
        <v>-1.9513097844790701E-3</v>
      </c>
      <c r="K49">
        <v>0.122622750676479</v>
      </c>
      <c r="L49">
        <v>0.75510775060493285</v>
      </c>
      <c r="M49">
        <v>8.0368619471538019E-2</v>
      </c>
      <c r="N49">
        <v>3.4903647954671199E-2</v>
      </c>
    </row>
    <row r="50" spans="1:14" x14ac:dyDescent="0.25">
      <c r="A50" s="16">
        <v>2021</v>
      </c>
      <c r="B50" s="16" t="s">
        <v>15</v>
      </c>
      <c r="C50" s="18">
        <v>12.238752784918802</v>
      </c>
      <c r="D50" s="18">
        <v>-0.11858594303165761</v>
      </c>
      <c r="E50" s="18">
        <v>0.86259627149838625</v>
      </c>
      <c r="F50" s="25">
        <v>2.6390573296152584</v>
      </c>
      <c r="G50">
        <v>21.732232008014901</v>
      </c>
      <c r="H50">
        <v>0</v>
      </c>
      <c r="I50">
        <v>0</v>
      </c>
      <c r="J50">
        <v>-1.2522406332118E-3</v>
      </c>
      <c r="K50">
        <v>7.1174306858795694E-2</v>
      </c>
      <c r="L50">
        <v>0.7585341752769893</v>
      </c>
      <c r="M50">
        <v>0</v>
      </c>
      <c r="N50">
        <v>0</v>
      </c>
    </row>
    <row r="51" spans="1:14" x14ac:dyDescent="0.25">
      <c r="A51" s="16">
        <v>2022</v>
      </c>
      <c r="B51" s="16" t="s">
        <v>15</v>
      </c>
      <c r="C51" s="18">
        <v>12.569106826591142</v>
      </c>
      <c r="D51" s="18">
        <v>0.39146067633224291</v>
      </c>
      <c r="E51" s="18">
        <v>0.86541218200173919</v>
      </c>
      <c r="F51" s="25">
        <v>2.7080502011022101</v>
      </c>
      <c r="G51">
        <v>21.831506952645661</v>
      </c>
      <c r="H51">
        <v>0.69314718055994529</v>
      </c>
      <c r="I51">
        <v>0</v>
      </c>
      <c r="J51">
        <v>-6.6430710969858902E-4</v>
      </c>
      <c r="K51">
        <v>9.7397862544531005E-2</v>
      </c>
      <c r="L51">
        <v>0.76199923299510075</v>
      </c>
      <c r="M51">
        <v>2.4193365171037241E-2</v>
      </c>
      <c r="N51">
        <v>0</v>
      </c>
    </row>
    <row r="52" spans="1:14" x14ac:dyDescent="0.25">
      <c r="A52" s="16">
        <v>2013</v>
      </c>
      <c r="B52" s="16" t="s">
        <v>8</v>
      </c>
      <c r="C52" s="18">
        <v>18.334499240704066</v>
      </c>
      <c r="D52" s="18">
        <v>0.33237022363000668</v>
      </c>
      <c r="E52" s="18">
        <v>0.91034452000734944</v>
      </c>
      <c r="F52" s="25">
        <v>4.0073331852324712</v>
      </c>
      <c r="G52">
        <v>20.377668143104209</v>
      </c>
      <c r="H52">
        <v>1.3862943611198906</v>
      </c>
      <c r="I52">
        <v>0</v>
      </c>
      <c r="J52">
        <v>-7.2247864689813602E-3</v>
      </c>
      <c r="K52">
        <v>6.8547560891912995E-2</v>
      </c>
      <c r="L52">
        <v>0.71125495500402769</v>
      </c>
      <c r="M52">
        <v>4.8386730342074483E-2</v>
      </c>
      <c r="N52">
        <v>0</v>
      </c>
    </row>
    <row r="53" spans="1:14" x14ac:dyDescent="0.25">
      <c r="A53" s="16">
        <v>2014</v>
      </c>
      <c r="B53" s="16" t="s">
        <v>8</v>
      </c>
      <c r="C53" s="18">
        <v>18.456795349683144</v>
      </c>
      <c r="D53" s="18">
        <v>0.13008868164761103</v>
      </c>
      <c r="E53" s="18">
        <v>0.89725744782033023</v>
      </c>
      <c r="F53" s="25">
        <v>4.0253516907351496</v>
      </c>
      <c r="G53">
        <v>20.53033551689224</v>
      </c>
      <c r="H53">
        <v>1.6094379124341003</v>
      </c>
      <c r="I53">
        <v>0</v>
      </c>
      <c r="J53">
        <v>-2.6143061414415701E-3</v>
      </c>
      <c r="K53">
        <v>1.59576465149344E-2</v>
      </c>
      <c r="L53">
        <v>0.71658360327288928</v>
      </c>
      <c r="M53">
        <v>5.6175254300500771E-2</v>
      </c>
      <c r="N53">
        <v>0</v>
      </c>
    </row>
    <row r="54" spans="1:14" x14ac:dyDescent="0.25">
      <c r="A54" s="16">
        <v>2015</v>
      </c>
      <c r="B54" s="16" t="s">
        <v>8</v>
      </c>
      <c r="C54" s="18">
        <v>18.517751509379522</v>
      </c>
      <c r="D54" s="18">
        <v>6.2852317397495042E-2</v>
      </c>
      <c r="E54" s="18">
        <v>0.88046084481453857</v>
      </c>
      <c r="F54" s="25">
        <v>4.0430512678345503</v>
      </c>
      <c r="G54">
        <v>20.499441325081179</v>
      </c>
      <c r="H54">
        <v>1.791759469228055</v>
      </c>
      <c r="I54">
        <v>1</v>
      </c>
      <c r="J54">
        <v>-5.2705541846103801E-3</v>
      </c>
      <c r="K54">
        <v>4.7677020293249002E-2</v>
      </c>
      <c r="L54">
        <v>0.71550528327807195</v>
      </c>
      <c r="M54">
        <v>6.2538941733384548E-2</v>
      </c>
      <c r="N54">
        <v>3.4903647954671199E-2</v>
      </c>
    </row>
    <row r="55" spans="1:14" x14ac:dyDescent="0.25">
      <c r="A55" s="16">
        <v>2016</v>
      </c>
      <c r="B55" s="16" t="s">
        <v>8</v>
      </c>
      <c r="C55" s="18">
        <v>18.527182608024219</v>
      </c>
      <c r="D55" s="18">
        <v>9.4757115949363237E-3</v>
      </c>
      <c r="E55" s="18">
        <v>0.89687242098668241</v>
      </c>
      <c r="F55" s="25">
        <v>4.0604430105464191</v>
      </c>
      <c r="G55">
        <v>20.541971692183921</v>
      </c>
      <c r="H55">
        <v>1.9459101490553132</v>
      </c>
      <c r="I55">
        <v>1</v>
      </c>
      <c r="J55">
        <v>-1.18831291172908E-2</v>
      </c>
      <c r="K55">
        <v>0.16839583491891499</v>
      </c>
      <c r="L55">
        <v>0.71698974823880901</v>
      </c>
      <c r="M55">
        <v>6.7919362794048407E-2</v>
      </c>
      <c r="N55">
        <v>3.4903647954671199E-2</v>
      </c>
    </row>
    <row r="56" spans="1:14" x14ac:dyDescent="0.25">
      <c r="A56" s="16">
        <v>2017</v>
      </c>
      <c r="B56" s="16" t="s">
        <v>8</v>
      </c>
      <c r="C56" s="18">
        <v>18.706025086040551</v>
      </c>
      <c r="D56" s="18">
        <v>0.19583235944551322</v>
      </c>
      <c r="E56" s="18">
        <v>0.9037301716507703</v>
      </c>
      <c r="F56" s="25">
        <v>4.0775374439057197</v>
      </c>
      <c r="G56">
        <v>20.792979382019091</v>
      </c>
      <c r="H56">
        <v>2.0794415416798357</v>
      </c>
      <c r="I56">
        <v>1</v>
      </c>
      <c r="J56">
        <v>-9.4098216310326901E-3</v>
      </c>
      <c r="K56">
        <v>5.56390497005032E-2</v>
      </c>
      <c r="L56">
        <v>0.72575083227873105</v>
      </c>
      <c r="M56">
        <v>7.2580095513111731E-2</v>
      </c>
      <c r="N56">
        <v>3.4903647954671199E-2</v>
      </c>
    </row>
    <row r="57" spans="1:14" x14ac:dyDescent="0.25">
      <c r="A57" s="16">
        <v>2018</v>
      </c>
      <c r="B57" s="16" t="s">
        <v>8</v>
      </c>
      <c r="C57" s="18">
        <v>18.811309671525532</v>
      </c>
      <c r="D57" s="18">
        <v>0.11102674745530815</v>
      </c>
      <c r="E57" s="18">
        <v>0.90974199632370545</v>
      </c>
      <c r="F57" s="25">
        <v>4.0943445622221004</v>
      </c>
      <c r="G57">
        <v>20.821227951805959</v>
      </c>
      <c r="H57">
        <v>2.1972245773362196</v>
      </c>
      <c r="I57">
        <v>1</v>
      </c>
      <c r="J57">
        <v>-7.5813888847158298E-3</v>
      </c>
      <c r="K57">
        <v>1.6743135059659901E-2</v>
      </c>
      <c r="L57">
        <v>0.7267368104137949</v>
      </c>
      <c r="M57">
        <v>7.6691153124694628E-2</v>
      </c>
      <c r="N57">
        <v>3.4903647954671199E-2</v>
      </c>
    </row>
    <row r="58" spans="1:14" x14ac:dyDescent="0.25">
      <c r="A58" s="16">
        <v>2019</v>
      </c>
      <c r="B58" s="16" t="s">
        <v>8</v>
      </c>
      <c r="C58" s="18">
        <v>18.808925088882873</v>
      </c>
      <c r="D58" s="18">
        <v>-2.3817417840057919E-3</v>
      </c>
      <c r="E58" s="18">
        <v>0.89761726421674992</v>
      </c>
      <c r="F58" s="25">
        <v>4.1108738641733114</v>
      </c>
      <c r="G58">
        <v>20.891053114296579</v>
      </c>
      <c r="H58">
        <v>2.3025850929940459</v>
      </c>
      <c r="I58">
        <v>1</v>
      </c>
      <c r="J58">
        <v>-7.0617950025041298E-3</v>
      </c>
      <c r="K58">
        <v>8.8794209616555098E-2</v>
      </c>
      <c r="L58">
        <v>0.72917396330374518</v>
      </c>
      <c r="M58">
        <v>8.0368619471538019E-2</v>
      </c>
      <c r="N58">
        <v>3.4903647954671199E-2</v>
      </c>
    </row>
    <row r="59" spans="1:14" x14ac:dyDescent="0.25">
      <c r="A59" s="16">
        <v>2020</v>
      </c>
      <c r="B59" s="16" t="s">
        <v>8</v>
      </c>
      <c r="C59" s="18">
        <v>18.708960137972092</v>
      </c>
      <c r="D59" s="18">
        <v>-9.5130867680871409E-2</v>
      </c>
      <c r="E59" s="18">
        <v>0.89437756956850756</v>
      </c>
      <c r="F59" s="25">
        <v>4.1271343850450917</v>
      </c>
      <c r="G59">
        <v>20.98491830968873</v>
      </c>
      <c r="H59">
        <v>0</v>
      </c>
      <c r="I59">
        <v>0</v>
      </c>
      <c r="J59">
        <v>-1.22126867879261E-2</v>
      </c>
      <c r="K59">
        <v>1.21217213082875E-2</v>
      </c>
      <c r="L59">
        <v>0.73245020103890923</v>
      </c>
      <c r="M59">
        <v>0</v>
      </c>
      <c r="N59">
        <v>0</v>
      </c>
    </row>
    <row r="60" spans="1:14" x14ac:dyDescent="0.25">
      <c r="A60" s="16">
        <v>2021</v>
      </c>
      <c r="B60" s="16" t="s">
        <v>8</v>
      </c>
      <c r="C60" s="18">
        <v>18.790580848650325</v>
      </c>
      <c r="D60" s="18">
        <v>8.5044186098805957E-2</v>
      </c>
      <c r="E60" s="18">
        <v>0.91250746859467569</v>
      </c>
      <c r="F60" s="25">
        <v>4.1431347263915326</v>
      </c>
      <c r="G60">
        <v>21.21131135311791</v>
      </c>
      <c r="H60">
        <v>0.69314718055994529</v>
      </c>
      <c r="I60">
        <v>0</v>
      </c>
      <c r="J60">
        <v>-6.6795817023818597E-3</v>
      </c>
      <c r="K60">
        <v>0.101899733906751</v>
      </c>
      <c r="L60">
        <v>0.74035214412614792</v>
      </c>
      <c r="M60">
        <v>2.4193365171037241E-2</v>
      </c>
      <c r="N60">
        <v>0</v>
      </c>
    </row>
    <row r="61" spans="1:14" x14ac:dyDescent="0.25">
      <c r="A61" s="16">
        <v>2022</v>
      </c>
      <c r="B61" s="16" t="s">
        <v>8</v>
      </c>
      <c r="C61" s="18">
        <v>18.788430139159345</v>
      </c>
      <c r="D61" s="18">
        <v>-2.1483983724673423E-3</v>
      </c>
      <c r="E61" s="18">
        <v>0.91711589716209763</v>
      </c>
      <c r="F61" s="25">
        <v>4.1588830833596715</v>
      </c>
      <c r="G61">
        <v>21.342762171623729</v>
      </c>
      <c r="H61">
        <v>1.0986122886681098</v>
      </c>
      <c r="I61">
        <v>0</v>
      </c>
      <c r="J61">
        <v>-1.11490018319603E-2</v>
      </c>
      <c r="K61">
        <v>0.16864768789133799</v>
      </c>
      <c r="L61">
        <v>0.74494025721862844</v>
      </c>
      <c r="M61">
        <v>3.8345576562347314E-2</v>
      </c>
      <c r="N61">
        <v>0</v>
      </c>
    </row>
    <row r="62" spans="1:14" x14ac:dyDescent="0.25">
      <c r="A62" s="16">
        <v>2013</v>
      </c>
      <c r="B62" s="16" t="s">
        <v>5</v>
      </c>
      <c r="C62" s="18">
        <v>12.2750061819235</v>
      </c>
      <c r="D62" s="18">
        <v>0.20765489294309272</v>
      </c>
      <c r="E62" s="18">
        <v>0.88295480732762488</v>
      </c>
      <c r="F62" s="25">
        <v>4.1588830833596715</v>
      </c>
      <c r="G62">
        <v>21.69491407310705</v>
      </c>
      <c r="H62">
        <v>1.3862943611198906</v>
      </c>
      <c r="I62">
        <v>0</v>
      </c>
      <c r="J62">
        <v>6.2741536077419502E-2</v>
      </c>
      <c r="K62">
        <v>0.151982682412413</v>
      </c>
      <c r="L62">
        <v>0.75723164321457026</v>
      </c>
      <c r="M62">
        <v>4.8386730342074483E-2</v>
      </c>
      <c r="N62">
        <v>0</v>
      </c>
    </row>
    <row r="63" spans="1:14" x14ac:dyDescent="0.25">
      <c r="A63" s="16">
        <v>2014</v>
      </c>
      <c r="B63" s="16" t="s">
        <v>5</v>
      </c>
      <c r="C63" s="18">
        <v>12.659832557041645</v>
      </c>
      <c r="D63" s="18">
        <v>0.4693591819781307</v>
      </c>
      <c r="E63" s="18">
        <v>0.87945698285231511</v>
      </c>
      <c r="F63" s="25">
        <v>4.1743872698956368</v>
      </c>
      <c r="G63">
        <v>21.739428328780509</v>
      </c>
      <c r="H63">
        <v>1.6094379124341003</v>
      </c>
      <c r="I63">
        <v>0</v>
      </c>
      <c r="J63">
        <v>3.0172185178208501E-2</v>
      </c>
      <c r="K63">
        <v>0.174652902098616</v>
      </c>
      <c r="L63">
        <v>0.75878535312356088</v>
      </c>
      <c r="M63">
        <v>5.6175254300500771E-2</v>
      </c>
      <c r="N63">
        <v>0</v>
      </c>
    </row>
    <row r="64" spans="1:14" x14ac:dyDescent="0.25">
      <c r="A64" s="16">
        <v>2015</v>
      </c>
      <c r="B64" s="16" t="s">
        <v>5</v>
      </c>
      <c r="C64" s="18">
        <v>12.857478137947973</v>
      </c>
      <c r="D64" s="18">
        <v>0.2185304468244591</v>
      </c>
      <c r="E64" s="18">
        <v>0.84739189031270967</v>
      </c>
      <c r="F64" s="25">
        <v>4.1896547420264252</v>
      </c>
      <c r="G64">
        <v>21.73581974892128</v>
      </c>
      <c r="H64">
        <v>1.791759469228055</v>
      </c>
      <c r="I64">
        <v>1</v>
      </c>
      <c r="J64">
        <v>1.4059755543372E-2</v>
      </c>
      <c r="K64">
        <v>0.19374223213563899</v>
      </c>
      <c r="L64">
        <v>0.75865940052253811</v>
      </c>
      <c r="M64">
        <v>6.2538941733384548E-2</v>
      </c>
      <c r="N64">
        <v>3.4903647954671199E-2</v>
      </c>
    </row>
    <row r="65" spans="1:14" x14ac:dyDescent="0.25">
      <c r="A65" s="16">
        <v>2016</v>
      </c>
      <c r="B65" s="16" t="s">
        <v>5</v>
      </c>
      <c r="C65" s="18">
        <v>12.505788273454728</v>
      </c>
      <c r="D65" s="18">
        <v>-0.29650173206098313</v>
      </c>
      <c r="E65" s="18">
        <v>0.84607721340297726</v>
      </c>
      <c r="F65" s="25">
        <v>4.2046926193909657</v>
      </c>
      <c r="G65">
        <v>21.9773051334457</v>
      </c>
      <c r="H65">
        <v>1.9459101490553132</v>
      </c>
      <c r="I65">
        <v>1</v>
      </c>
      <c r="J65">
        <v>3.5073657326445398E-3</v>
      </c>
      <c r="K65">
        <v>0.12351415700108501</v>
      </c>
      <c r="L65">
        <v>0.7670881213701769</v>
      </c>
      <c r="M65">
        <v>6.7919362794048407E-2</v>
      </c>
      <c r="N65">
        <v>3.4903647954671199E-2</v>
      </c>
    </row>
    <row r="66" spans="1:14" x14ac:dyDescent="0.25">
      <c r="A66" s="16">
        <v>2017</v>
      </c>
      <c r="B66" s="16" t="s">
        <v>5</v>
      </c>
      <c r="C66" s="18">
        <v>12.664357881821712</v>
      </c>
      <c r="D66" s="18">
        <v>0.17183349080197854</v>
      </c>
      <c r="E66" s="18">
        <v>0.86270842812636217</v>
      </c>
      <c r="F66" s="25">
        <v>4.219507705176107</v>
      </c>
      <c r="G66">
        <v>22.126779589719689</v>
      </c>
      <c r="H66">
        <v>2.0794415416798357</v>
      </c>
      <c r="I66">
        <v>1</v>
      </c>
      <c r="J66">
        <v>3.6573741285617599E-2</v>
      </c>
      <c r="K66">
        <v>0.191764328847252</v>
      </c>
      <c r="L66">
        <v>0.77230532517018002</v>
      </c>
      <c r="M66">
        <v>7.2580095513111731E-2</v>
      </c>
      <c r="N66">
        <v>3.4903647954671199E-2</v>
      </c>
    </row>
    <row r="67" spans="1:14" x14ac:dyDescent="0.25">
      <c r="A67" s="16">
        <v>2018</v>
      </c>
      <c r="B67" s="16" t="s">
        <v>5</v>
      </c>
      <c r="C67" s="18">
        <v>12.741114670955131</v>
      </c>
      <c r="D67" s="18">
        <v>7.9779430363737538E-2</v>
      </c>
      <c r="E67" s="18">
        <v>0.89847757291569497</v>
      </c>
      <c r="F67" s="25">
        <v>4.2341065045972597</v>
      </c>
      <c r="G67">
        <v>22.30630597382574</v>
      </c>
      <c r="H67">
        <v>2.1972245773362196</v>
      </c>
      <c r="I67">
        <v>1</v>
      </c>
      <c r="J67">
        <v>4.3206599912503502E-2</v>
      </c>
      <c r="K67">
        <v>4.5683130749246598E-2</v>
      </c>
      <c r="L67">
        <v>0.77857145087959279</v>
      </c>
      <c r="M67">
        <v>7.6691153124694628E-2</v>
      </c>
      <c r="N67">
        <v>3.4903647954671199E-2</v>
      </c>
    </row>
    <row r="68" spans="1:14" x14ac:dyDescent="0.25">
      <c r="A68" s="16">
        <v>2019</v>
      </c>
      <c r="B68" s="16" t="s">
        <v>5</v>
      </c>
      <c r="C68" s="18">
        <v>12.915585180176384</v>
      </c>
      <c r="D68" s="18">
        <v>0.19061562968515741</v>
      </c>
      <c r="E68" s="18">
        <v>0.89205300238632101</v>
      </c>
      <c r="F68" s="25">
        <v>4.2484952420493594</v>
      </c>
      <c r="G68">
        <v>22.44675574446449</v>
      </c>
      <c r="H68">
        <v>2.3025850929940459</v>
      </c>
      <c r="I68">
        <v>1</v>
      </c>
      <c r="J68">
        <v>1.2172418516769101E-2</v>
      </c>
      <c r="K68">
        <v>0.127423196515874</v>
      </c>
      <c r="L68">
        <v>0.783473660229282</v>
      </c>
      <c r="M68">
        <v>8.0368619471538019E-2</v>
      </c>
      <c r="N68">
        <v>3.4903647954671199E-2</v>
      </c>
    </row>
    <row r="69" spans="1:14" x14ac:dyDescent="0.25">
      <c r="A69" s="16">
        <v>2020</v>
      </c>
      <c r="B69" s="16" t="s">
        <v>5</v>
      </c>
      <c r="C69" s="18">
        <v>12.851803218160262</v>
      </c>
      <c r="D69" s="18">
        <v>-6.1790457452041321E-2</v>
      </c>
      <c r="E69" s="18">
        <v>0.90822670389008253</v>
      </c>
      <c r="F69" s="25">
        <v>4.2626798770413155</v>
      </c>
      <c r="G69">
        <v>22.764223793727169</v>
      </c>
      <c r="H69">
        <v>0</v>
      </c>
      <c r="I69">
        <v>0</v>
      </c>
      <c r="J69">
        <v>4.3542238883137498E-2</v>
      </c>
      <c r="K69">
        <v>3.4389291495500199E-2</v>
      </c>
      <c r="L69">
        <v>0.79455445325760277</v>
      </c>
      <c r="M69">
        <v>0</v>
      </c>
      <c r="N69">
        <v>0</v>
      </c>
    </row>
    <row r="70" spans="1:14" x14ac:dyDescent="0.25">
      <c r="A70" s="16">
        <v>2021</v>
      </c>
      <c r="B70" s="16" t="s">
        <v>5</v>
      </c>
      <c r="C70" s="18">
        <v>12.851847780914458</v>
      </c>
      <c r="D70" s="18">
        <v>4.4563747129570403E-5</v>
      </c>
      <c r="E70" s="18">
        <v>0.91002633912684106</v>
      </c>
      <c r="F70" s="25">
        <v>4.2766661190160553</v>
      </c>
      <c r="G70">
        <v>22.86818116539154</v>
      </c>
      <c r="H70">
        <v>0.69314718055994529</v>
      </c>
      <c r="I70">
        <v>0</v>
      </c>
      <c r="J70">
        <v>4.9084427187689399E-2</v>
      </c>
      <c r="K70">
        <v>8.0647819247231606E-2</v>
      </c>
      <c r="L70">
        <v>0.79818294476046892</v>
      </c>
      <c r="M70">
        <v>2.4193365171037241E-2</v>
      </c>
      <c r="N70">
        <v>0</v>
      </c>
    </row>
    <row r="71" spans="1:14" x14ac:dyDescent="0.25">
      <c r="A71" s="16">
        <v>2022</v>
      </c>
      <c r="B71" s="16" t="s">
        <v>5</v>
      </c>
      <c r="C71" s="18">
        <v>13.177834034450377</v>
      </c>
      <c r="D71" s="18">
        <v>0.38539632444107758</v>
      </c>
      <c r="E71" s="18">
        <v>0.9205013582312509</v>
      </c>
      <c r="F71" s="25">
        <v>4.290459441148391</v>
      </c>
      <c r="G71">
        <v>23.108128461610448</v>
      </c>
      <c r="H71">
        <v>1.0986122886681098</v>
      </c>
      <c r="I71">
        <v>0</v>
      </c>
      <c r="J71">
        <v>5.1290492532712097E-2</v>
      </c>
      <c r="K71">
        <v>3.1612416988951703E-2</v>
      </c>
      <c r="L71">
        <v>0.80655798071536888</v>
      </c>
      <c r="M71">
        <v>3.8345576562347314E-2</v>
      </c>
      <c r="N71">
        <v>0</v>
      </c>
    </row>
    <row r="72" spans="1:14" x14ac:dyDescent="0.25">
      <c r="A72" s="16">
        <v>2013</v>
      </c>
      <c r="B72" s="16" t="s">
        <v>10</v>
      </c>
      <c r="C72" s="18">
        <v>18.456067192622623</v>
      </c>
      <c r="D72" s="18">
        <v>7.3773889971394224E-2</v>
      </c>
      <c r="E72" s="18">
        <v>0.78711638289213093</v>
      </c>
      <c r="F72" s="25">
        <v>3.7376696182833684</v>
      </c>
      <c r="G72">
        <v>20.726018046141789</v>
      </c>
      <c r="H72">
        <v>1.3862943611198906</v>
      </c>
      <c r="I72">
        <v>0</v>
      </c>
      <c r="J72">
        <v>9.4212298215171197E-3</v>
      </c>
      <c r="K72">
        <v>4.4173184896296597E-2</v>
      </c>
      <c r="L72">
        <v>0.72341363738469522</v>
      </c>
      <c r="M72">
        <v>4.8386730342074483E-2</v>
      </c>
      <c r="N72">
        <v>0</v>
      </c>
    </row>
    <row r="73" spans="1:14" x14ac:dyDescent="0.25">
      <c r="A73" s="16">
        <v>2014</v>
      </c>
      <c r="B73" s="16" t="s">
        <v>10</v>
      </c>
      <c r="C73" s="18">
        <v>18.514362325583051</v>
      </c>
      <c r="D73" s="18">
        <v>6.0027798691144961E-2</v>
      </c>
      <c r="E73" s="18">
        <v>0.77634276431804161</v>
      </c>
      <c r="F73" s="25">
        <v>3.7612001156935624</v>
      </c>
      <c r="G73">
        <v>20.732381165817088</v>
      </c>
      <c r="H73">
        <v>1.6094379124341003</v>
      </c>
      <c r="I73">
        <v>0</v>
      </c>
      <c r="J73">
        <v>7.5083353379112403E-3</v>
      </c>
      <c r="K73">
        <v>0.10610134562590599</v>
      </c>
      <c r="L73">
        <v>0.72363573347373533</v>
      </c>
      <c r="M73">
        <v>5.6175254300500771E-2</v>
      </c>
      <c r="N73">
        <v>0</v>
      </c>
    </row>
    <row r="74" spans="1:14" x14ac:dyDescent="0.25">
      <c r="A74" s="16">
        <v>2015</v>
      </c>
      <c r="B74" s="16" t="s">
        <v>10</v>
      </c>
      <c r="C74" s="18">
        <v>18.58929207701307</v>
      </c>
      <c r="D74" s="18">
        <v>7.7808433723969006E-2</v>
      </c>
      <c r="E74" s="18">
        <v>0.76890146342636334</v>
      </c>
      <c r="F74" s="25">
        <v>3.784189633918261</v>
      </c>
      <c r="G74">
        <v>20.769091611651831</v>
      </c>
      <c r="H74">
        <v>1.791759469228055</v>
      </c>
      <c r="I74">
        <v>1</v>
      </c>
      <c r="J74">
        <v>1.04686318135183E-2</v>
      </c>
      <c r="K74">
        <v>11.8892621559802</v>
      </c>
      <c r="L74">
        <v>0.72491706195141015</v>
      </c>
      <c r="M74">
        <v>6.2538941733384548E-2</v>
      </c>
      <c r="N74">
        <v>3.4903647954671199E-2</v>
      </c>
    </row>
    <row r="75" spans="1:14" x14ac:dyDescent="0.25">
      <c r="A75" s="16">
        <v>2016</v>
      </c>
      <c r="B75" s="16" t="s">
        <v>10</v>
      </c>
      <c r="C75" s="18">
        <v>18.631387275162894</v>
      </c>
      <c r="D75" s="18">
        <v>4.2993765101464951E-2</v>
      </c>
      <c r="E75" s="18">
        <v>0.77628588950611621</v>
      </c>
      <c r="F75" s="25">
        <v>3.8066624897703196</v>
      </c>
      <c r="G75">
        <v>20.948552689748141</v>
      </c>
      <c r="H75">
        <v>1.9459101490553132</v>
      </c>
      <c r="I75">
        <v>1</v>
      </c>
      <c r="J75">
        <v>9.3216141881540295E-3</v>
      </c>
      <c r="K75">
        <v>11.884019451747299</v>
      </c>
      <c r="L75">
        <v>0.73118090824284954</v>
      </c>
      <c r="M75">
        <v>6.7919362794048407E-2</v>
      </c>
      <c r="N75">
        <v>3.4903647954671199E-2</v>
      </c>
    </row>
    <row r="76" spans="1:14" x14ac:dyDescent="0.25">
      <c r="A76" s="16">
        <v>2017</v>
      </c>
      <c r="B76" s="16" t="s">
        <v>10</v>
      </c>
      <c r="C76" s="18">
        <v>18.875291508590621</v>
      </c>
      <c r="D76" s="18">
        <v>0.2762221052205257</v>
      </c>
      <c r="E76" s="18">
        <v>0.75924567820867306</v>
      </c>
      <c r="F76" s="25">
        <v>3.8286413964890951</v>
      </c>
      <c r="G76">
        <v>21.098642802737292</v>
      </c>
      <c r="H76">
        <v>2.0794415416798357</v>
      </c>
      <c r="I76">
        <v>1</v>
      </c>
      <c r="J76">
        <v>-7.0919035241422098E-3</v>
      </c>
      <c r="K76">
        <v>0.160370943661926</v>
      </c>
      <c r="L76">
        <v>0.73641960070809964</v>
      </c>
      <c r="M76">
        <v>7.2580095513111731E-2</v>
      </c>
      <c r="N76">
        <v>3.4903647954671199E-2</v>
      </c>
    </row>
    <row r="77" spans="1:14" x14ac:dyDescent="0.25">
      <c r="A77" s="16">
        <v>2018</v>
      </c>
      <c r="B77" s="16" t="s">
        <v>10</v>
      </c>
      <c r="C77" s="18">
        <v>18.775091125704591</v>
      </c>
      <c r="D77" s="18">
        <v>-9.5343877732361831E-2</v>
      </c>
      <c r="E77" s="18">
        <v>0.84891078058773828</v>
      </c>
      <c r="F77" s="25">
        <v>3.8501476017100584</v>
      </c>
      <c r="G77">
        <v>21.104341253245739</v>
      </c>
      <c r="H77">
        <v>2.1972245773362196</v>
      </c>
      <c r="I77">
        <v>1</v>
      </c>
      <c r="J77">
        <v>3.26058029034281E-3</v>
      </c>
      <c r="K77">
        <v>2.1743696517157601E-3</v>
      </c>
      <c r="L77">
        <v>0.73661849741853369</v>
      </c>
      <c r="M77">
        <v>7.6691153124694628E-2</v>
      </c>
      <c r="N77">
        <v>3.4903647954671199E-2</v>
      </c>
    </row>
    <row r="78" spans="1:14" x14ac:dyDescent="0.25">
      <c r="A78" s="16">
        <v>2019</v>
      </c>
      <c r="B78" s="16" t="s">
        <v>10</v>
      </c>
      <c r="C78" s="18">
        <v>18.88981524561612</v>
      </c>
      <c r="D78" s="18">
        <v>0.12156397771759721</v>
      </c>
      <c r="E78" s="18">
        <v>0.86493735318293263</v>
      </c>
      <c r="F78" s="25">
        <v>3.8712010109078911</v>
      </c>
      <c r="G78">
        <v>21.350396604824869</v>
      </c>
      <c r="H78">
        <v>2.3025850929940459</v>
      </c>
      <c r="I78">
        <v>1</v>
      </c>
      <c r="J78">
        <v>1.0101498358874399E-2</v>
      </c>
      <c r="K78">
        <v>0.12478824270322</v>
      </c>
      <c r="L78">
        <v>0.74520672678741451</v>
      </c>
      <c r="M78">
        <v>8.0368619471538019E-2</v>
      </c>
      <c r="N78">
        <v>3.4903647954671199E-2</v>
      </c>
    </row>
    <row r="79" spans="1:14" x14ac:dyDescent="0.25">
      <c r="A79" s="16">
        <v>2020</v>
      </c>
      <c r="B79" s="16" t="s">
        <v>10</v>
      </c>
      <c r="C79" s="18">
        <v>18.871023610838616</v>
      </c>
      <c r="D79" s="18">
        <v>-1.8616172800120106E-2</v>
      </c>
      <c r="E79" s="18">
        <v>0.88064132844816034</v>
      </c>
      <c r="F79" s="25">
        <v>3.8918202981106265</v>
      </c>
      <c r="G79">
        <v>21.50763576421685</v>
      </c>
      <c r="H79">
        <v>0</v>
      </c>
      <c r="I79">
        <v>0</v>
      </c>
      <c r="J79" s="26">
        <v>6.1353665752947705E-5</v>
      </c>
      <c r="K79">
        <v>6.6935680875446898E-3</v>
      </c>
      <c r="L79">
        <v>0.75069494705152062</v>
      </c>
      <c r="M79">
        <v>0</v>
      </c>
      <c r="N79">
        <v>0</v>
      </c>
    </row>
    <row r="80" spans="1:14" x14ac:dyDescent="0.25">
      <c r="A80" s="16">
        <v>2021</v>
      </c>
      <c r="B80" s="16" t="s">
        <v>10</v>
      </c>
      <c r="C80" s="18">
        <v>18.894775991101355</v>
      </c>
      <c r="D80" s="18">
        <v>2.4036714791089014E-2</v>
      </c>
      <c r="E80" s="18">
        <v>0.90204760304131626</v>
      </c>
      <c r="F80" s="25">
        <v>3.912023005428146</v>
      </c>
      <c r="G80">
        <v>21.677148648778179</v>
      </c>
      <c r="H80">
        <v>0.69314718055994529</v>
      </c>
      <c r="I80">
        <v>0</v>
      </c>
      <c r="J80">
        <v>1.2996125767051701E-2</v>
      </c>
      <c r="K80">
        <v>0.11672433756096701</v>
      </c>
      <c r="L80">
        <v>0.75661156509803007</v>
      </c>
      <c r="M80">
        <v>2.4193365171037241E-2</v>
      </c>
      <c r="N80">
        <v>0</v>
      </c>
    </row>
    <row r="81" spans="1:14" x14ac:dyDescent="0.25">
      <c r="A81" s="16">
        <v>2022</v>
      </c>
      <c r="B81" s="16" t="s">
        <v>10</v>
      </c>
      <c r="C81" s="18">
        <v>19.153875219029995</v>
      </c>
      <c r="D81" s="18">
        <v>0.29576237426551139</v>
      </c>
      <c r="E81" s="18">
        <v>0.89624773685118597</v>
      </c>
      <c r="F81" s="25">
        <v>3.9318256327243257</v>
      </c>
      <c r="G81">
        <v>21.75136803229984</v>
      </c>
      <c r="H81">
        <v>1.0986122886681098</v>
      </c>
      <c r="I81">
        <v>0</v>
      </c>
      <c r="J81">
        <v>-1.4058757752913899E-2</v>
      </c>
      <c r="K81">
        <v>8.0242004556752705E-4</v>
      </c>
      <c r="L81">
        <v>0.75920209233188285</v>
      </c>
      <c r="M81">
        <v>3.8345576562347314E-2</v>
      </c>
      <c r="N81">
        <v>0</v>
      </c>
    </row>
    <row r="82" spans="1:14" x14ac:dyDescent="0.25">
      <c r="A82" s="16">
        <v>2013</v>
      </c>
      <c r="B82" s="16" t="s">
        <v>14</v>
      </c>
      <c r="C82" s="18">
        <v>11.048156112962923</v>
      </c>
      <c r="D82" s="18">
        <v>0.16867559523809525</v>
      </c>
      <c r="E82" s="18">
        <v>0.93010259488353786</v>
      </c>
      <c r="F82" s="25">
        <v>1.9459101490553132</v>
      </c>
      <c r="G82">
        <v>19.81600741566384</v>
      </c>
      <c r="H82">
        <v>1.6094379124341003</v>
      </c>
      <c r="I82">
        <v>0</v>
      </c>
      <c r="J82">
        <v>6.3490949009387093E-2</v>
      </c>
      <c r="K82">
        <v>3.8703116560129501E-2</v>
      </c>
      <c r="L82">
        <v>0.69165094670348448</v>
      </c>
      <c r="M82">
        <v>5.6175254300500771E-2</v>
      </c>
      <c r="N82">
        <v>0</v>
      </c>
    </row>
    <row r="83" spans="1:14" x14ac:dyDescent="0.25">
      <c r="A83" s="16">
        <v>2014</v>
      </c>
      <c r="B83" s="16" t="s">
        <v>14</v>
      </c>
      <c r="C83" s="18">
        <v>11.252430452362411</v>
      </c>
      <c r="D83" s="18">
        <v>0.22663462150633476</v>
      </c>
      <c r="E83" s="18">
        <v>0.81547773552696279</v>
      </c>
      <c r="F83" s="25">
        <v>2.0794415416798357</v>
      </c>
      <c r="G83">
        <v>19.839696645725361</v>
      </c>
      <c r="H83">
        <v>1.791759469228055</v>
      </c>
      <c r="I83">
        <v>0</v>
      </c>
      <c r="J83">
        <v>4.64026577600598E-2</v>
      </c>
      <c r="K83">
        <v>2.5070700789466899E-2</v>
      </c>
      <c r="L83">
        <v>0.69247778724986908</v>
      </c>
      <c r="M83">
        <v>6.2538941733384548E-2</v>
      </c>
      <c r="N83">
        <v>0</v>
      </c>
    </row>
    <row r="84" spans="1:14" x14ac:dyDescent="0.25">
      <c r="A84" s="16">
        <v>2015</v>
      </c>
      <c r="B84" s="16" t="s">
        <v>14</v>
      </c>
      <c r="C84" s="18">
        <v>11.266692390430986</v>
      </c>
      <c r="D84" s="18">
        <v>1.4364124722643933E-2</v>
      </c>
      <c r="E84" s="18">
        <v>0.8137364826731921</v>
      </c>
      <c r="F84" s="25">
        <v>2.1972245773362196</v>
      </c>
      <c r="G84">
        <v>19.909804697644539</v>
      </c>
      <c r="H84">
        <v>1.9459101490553132</v>
      </c>
      <c r="I84">
        <v>1</v>
      </c>
      <c r="J84">
        <v>3.4141504917723199E-2</v>
      </c>
      <c r="K84">
        <v>1.0485469044161401E-3</v>
      </c>
      <c r="L84">
        <v>0.69492481401284389</v>
      </c>
      <c r="M84">
        <v>6.7919362794048407E-2</v>
      </c>
      <c r="N84">
        <v>3.4903647954671199E-2</v>
      </c>
    </row>
    <row r="85" spans="1:14" x14ac:dyDescent="0.25">
      <c r="A85" s="16">
        <v>2016</v>
      </c>
      <c r="B85" s="16" t="s">
        <v>14</v>
      </c>
      <c r="C85" s="18">
        <v>11.338822046580658</v>
      </c>
      <c r="D85" s="18">
        <v>7.4794688771202697E-2</v>
      </c>
      <c r="E85" s="18">
        <v>0.83131707765846619</v>
      </c>
      <c r="F85" s="25">
        <v>2.3025850929940459</v>
      </c>
      <c r="G85">
        <v>20.01537377697262</v>
      </c>
      <c r="H85">
        <v>2.0794415416798357</v>
      </c>
      <c r="I85">
        <v>1</v>
      </c>
      <c r="J85">
        <v>4.0985716391938098E-2</v>
      </c>
      <c r="K85">
        <v>6.3899269563706695E-4</v>
      </c>
      <c r="L85">
        <v>0.69860955999260999</v>
      </c>
      <c r="M85">
        <v>7.2580095513111731E-2</v>
      </c>
      <c r="N85">
        <v>3.4903647954671199E-2</v>
      </c>
    </row>
    <row r="86" spans="1:14" x14ac:dyDescent="0.25">
      <c r="A86" s="16">
        <v>2017</v>
      </c>
      <c r="B86" s="16" t="s">
        <v>14</v>
      </c>
      <c r="C86" s="18">
        <v>11.406742388880087</v>
      </c>
      <c r="D86" s="18">
        <v>7.0280049035360212E-2</v>
      </c>
      <c r="E86" s="18">
        <v>2.5474957833062324</v>
      </c>
      <c r="F86" s="25">
        <v>2.3978952727983707</v>
      </c>
      <c r="G86">
        <v>18.868608126186359</v>
      </c>
      <c r="H86">
        <v>2.1972245773362196</v>
      </c>
      <c r="I86">
        <v>1</v>
      </c>
      <c r="J86">
        <v>-3.7687166705311401E-2</v>
      </c>
      <c r="K86">
        <v>3.4507954668560901E-2</v>
      </c>
      <c r="L86">
        <v>0.65858325543105689</v>
      </c>
      <c r="M86">
        <v>7.6691153124694628E-2</v>
      </c>
      <c r="N86">
        <v>3.4903647954671199E-2</v>
      </c>
    </row>
    <row r="87" spans="1:14" x14ac:dyDescent="0.25">
      <c r="A87" s="16">
        <v>2018</v>
      </c>
      <c r="B87" s="16" t="s">
        <v>14</v>
      </c>
      <c r="C87" s="18">
        <v>10.453168438070792</v>
      </c>
      <c r="D87" s="18">
        <v>-0.61463870293352307</v>
      </c>
      <c r="E87" s="18">
        <v>2.0326760721071055</v>
      </c>
      <c r="F87" s="25">
        <v>2.4849066497880004</v>
      </c>
      <c r="G87">
        <v>19.27924146806965</v>
      </c>
      <c r="H87">
        <v>2.3025850929940459</v>
      </c>
      <c r="I87">
        <v>1</v>
      </c>
      <c r="J87">
        <v>-3.8715188296320598E-2</v>
      </c>
      <c r="K87">
        <v>7.7129059176695894E-2</v>
      </c>
      <c r="L87">
        <v>0.67291585703460144</v>
      </c>
      <c r="M87">
        <v>8.0368619471538019E-2</v>
      </c>
      <c r="N87">
        <v>3.4903647954671199E-2</v>
      </c>
    </row>
    <row r="88" spans="1:14" x14ac:dyDescent="0.25">
      <c r="A88" s="16">
        <v>2019</v>
      </c>
      <c r="B88" s="16" t="s">
        <v>14</v>
      </c>
      <c r="C88" s="18">
        <v>10.705197615699028</v>
      </c>
      <c r="D88" s="18">
        <v>0.28663357765337333</v>
      </c>
      <c r="E88" s="18">
        <v>1.9174338471657955</v>
      </c>
      <c r="F88" s="25">
        <v>2.5649493574615367</v>
      </c>
      <c r="G88">
        <v>19.495860864502781</v>
      </c>
      <c r="H88">
        <v>0</v>
      </c>
      <c r="I88">
        <v>0</v>
      </c>
      <c r="J88">
        <v>0.117307699755875</v>
      </c>
      <c r="K88">
        <v>7.4268945249313101E-2</v>
      </c>
      <c r="L88">
        <v>0.68047666418785679</v>
      </c>
      <c r="M88">
        <v>0</v>
      </c>
      <c r="N88">
        <v>0</v>
      </c>
    </row>
    <row r="89" spans="1:14" x14ac:dyDescent="0.25">
      <c r="A89" s="16">
        <v>2020</v>
      </c>
      <c r="B89" s="16" t="s">
        <v>14</v>
      </c>
      <c r="C89" s="18">
        <v>10.662164949840967</v>
      </c>
      <c r="D89" s="18">
        <v>-4.2119900419404763E-2</v>
      </c>
      <c r="E89" s="18">
        <v>1.9662401489918926</v>
      </c>
      <c r="F89" s="25">
        <v>2.6390573296152584</v>
      </c>
      <c r="G89">
        <v>20.014030592708661</v>
      </c>
      <c r="H89">
        <v>0.69314718055994529</v>
      </c>
      <c r="I89">
        <v>0</v>
      </c>
      <c r="J89">
        <v>0.10001655720500501</v>
      </c>
      <c r="K89">
        <v>3.2186060182030199E-2</v>
      </c>
      <c r="L89">
        <v>0.69856267796192251</v>
      </c>
      <c r="M89">
        <v>2.4193365171037241E-2</v>
      </c>
      <c r="N89">
        <v>0</v>
      </c>
    </row>
    <row r="90" spans="1:14" x14ac:dyDescent="0.25">
      <c r="A90" s="16">
        <v>2021</v>
      </c>
      <c r="B90" s="16" t="s">
        <v>14</v>
      </c>
      <c r="C90" s="18">
        <v>10.799106079140744</v>
      </c>
      <c r="D90" s="18">
        <v>0.14676063593153668</v>
      </c>
      <c r="E90" s="18">
        <v>1.512468856145744</v>
      </c>
      <c r="F90" s="25">
        <v>2.7080502011022101</v>
      </c>
      <c r="G90">
        <v>20.10498260200594</v>
      </c>
      <c r="H90">
        <v>1.0986122886681098</v>
      </c>
      <c r="I90">
        <v>0</v>
      </c>
      <c r="J90">
        <v>-3.77755323746077E-2</v>
      </c>
      <c r="K90">
        <v>5.5045051015094403E-2</v>
      </c>
      <c r="L90">
        <v>0.70173723487520467</v>
      </c>
      <c r="M90">
        <v>3.8345576562347314E-2</v>
      </c>
      <c r="N90">
        <v>0</v>
      </c>
    </row>
    <row r="91" spans="1:14" x14ac:dyDescent="0.25">
      <c r="A91" s="16">
        <v>2022</v>
      </c>
      <c r="B91" s="16" t="s">
        <v>14</v>
      </c>
      <c r="C91" s="18">
        <v>10.949331775665582</v>
      </c>
      <c r="D91" s="18">
        <v>0.16209649427282194</v>
      </c>
      <c r="E91" s="18">
        <v>1.538961918786536</v>
      </c>
      <c r="F91" s="25">
        <v>2.7725887222397811</v>
      </c>
      <c r="G91">
        <v>20.05020351640027</v>
      </c>
      <c r="H91">
        <v>1.3862943611198906</v>
      </c>
      <c r="I91">
        <v>0</v>
      </c>
      <c r="J91">
        <v>8.9690378379121596E-2</v>
      </c>
      <c r="K91">
        <v>3.0241848641894001E-2</v>
      </c>
      <c r="L91">
        <v>0.69982524495594556</v>
      </c>
      <c r="M91">
        <v>4.8386730342074483E-2</v>
      </c>
      <c r="N91">
        <v>0</v>
      </c>
    </row>
    <row r="92" spans="1:14" x14ac:dyDescent="0.25">
      <c r="A92" s="16">
        <v>2013</v>
      </c>
      <c r="B92" s="16" t="s">
        <v>12</v>
      </c>
      <c r="C92" s="18">
        <v>12.648432044820613</v>
      </c>
      <c r="D92" s="18">
        <v>0.11551307688448334</v>
      </c>
      <c r="E92" s="18">
        <v>0.83582063109890492</v>
      </c>
      <c r="F92" s="25">
        <v>3.1354942159291497</v>
      </c>
      <c r="G92">
        <v>21.868485910124889</v>
      </c>
      <c r="H92">
        <v>1.3862943611198906</v>
      </c>
      <c r="I92">
        <v>0</v>
      </c>
      <c r="J92">
        <v>2.3536137319778699E-2</v>
      </c>
      <c r="K92">
        <v>8.7171702385102606E-2</v>
      </c>
      <c r="L92">
        <v>0.76328993350868657</v>
      </c>
      <c r="M92">
        <v>4.8386730342074483E-2</v>
      </c>
      <c r="N92">
        <v>0</v>
      </c>
    </row>
    <row r="93" spans="1:14" x14ac:dyDescent="0.25">
      <c r="A93" s="16">
        <v>2014</v>
      </c>
      <c r="B93" s="16" t="s">
        <v>12</v>
      </c>
      <c r="C93" s="18">
        <v>12.826689455022995</v>
      </c>
      <c r="D93" s="18">
        <v>0.19513292105051802</v>
      </c>
      <c r="E93" s="18">
        <v>0.85025289012065186</v>
      </c>
      <c r="F93" s="25">
        <v>3.1780538303479458</v>
      </c>
      <c r="G93">
        <v>22.046424425949461</v>
      </c>
      <c r="H93">
        <v>1.6094379124341003</v>
      </c>
      <c r="I93">
        <v>0</v>
      </c>
      <c r="J93">
        <v>5.0896238254663504E-3</v>
      </c>
      <c r="K93">
        <v>0.130885164814913</v>
      </c>
      <c r="L93">
        <v>0.76950063682260406</v>
      </c>
      <c r="M93">
        <v>5.6175254300500771E-2</v>
      </c>
      <c r="N93">
        <v>0</v>
      </c>
    </row>
    <row r="94" spans="1:14" x14ac:dyDescent="0.25">
      <c r="A94" s="16">
        <v>2015</v>
      </c>
      <c r="B94" s="16" t="s">
        <v>12</v>
      </c>
      <c r="C94" s="18">
        <v>12.890817122044545</v>
      </c>
      <c r="D94" s="18">
        <v>6.6228512291171049E-2</v>
      </c>
      <c r="E94" s="18">
        <v>0.85416045054204603</v>
      </c>
      <c r="F94" s="25">
        <v>3.2188758248682006</v>
      </c>
      <c r="G94">
        <v>22.111269236827241</v>
      </c>
      <c r="H94">
        <v>1.791759469228055</v>
      </c>
      <c r="I94">
        <v>1</v>
      </c>
      <c r="J94">
        <v>-2.3610336424244099E-3</v>
      </c>
      <c r="K94">
        <v>5.7157176379949999E-2</v>
      </c>
      <c r="L94">
        <v>0.77176395727316938</v>
      </c>
      <c r="M94">
        <v>6.2538941733384548E-2</v>
      </c>
      <c r="N94">
        <v>3.4903647954671199E-2</v>
      </c>
    </row>
    <row r="95" spans="1:14" x14ac:dyDescent="0.25">
      <c r="A95" s="16">
        <v>2016</v>
      </c>
      <c r="B95" s="16" t="s">
        <v>12</v>
      </c>
      <c r="C95" s="18">
        <v>13.027630630853329</v>
      </c>
      <c r="D95" s="18">
        <v>0.14661429511436949</v>
      </c>
      <c r="E95" s="18">
        <v>0.85611788401526145</v>
      </c>
      <c r="F95" s="25">
        <v>3.2580965380214821</v>
      </c>
      <c r="G95">
        <v>22.279266052140621</v>
      </c>
      <c r="H95">
        <v>1.9459101490553132</v>
      </c>
      <c r="I95">
        <v>1</v>
      </c>
      <c r="J95">
        <v>9.0467907253508704E-3</v>
      </c>
      <c r="K95">
        <v>0.15346164812382801</v>
      </c>
      <c r="L95">
        <v>0.7776276589723734</v>
      </c>
      <c r="M95">
        <v>6.7919362794048407E-2</v>
      </c>
      <c r="N95">
        <v>3.4903647954671199E-2</v>
      </c>
    </row>
    <row r="96" spans="1:14" x14ac:dyDescent="0.25">
      <c r="A96" s="16">
        <v>2017</v>
      </c>
      <c r="B96" s="16" t="s">
        <v>12</v>
      </c>
      <c r="C96" s="18">
        <v>13.420445184662688</v>
      </c>
      <c r="D96" s="18">
        <v>0.48114369140384516</v>
      </c>
      <c r="E96" s="18">
        <v>0.85362534957996616</v>
      </c>
      <c r="F96" s="25">
        <v>3.2958368660043291</v>
      </c>
      <c r="G96">
        <v>22.44518439663344</v>
      </c>
      <c r="H96">
        <v>2.0794415416798357</v>
      </c>
      <c r="I96">
        <v>1</v>
      </c>
      <c r="J96">
        <v>2.1607257328423199E-3</v>
      </c>
      <c r="K96">
        <v>0.126612063932942</v>
      </c>
      <c r="L96">
        <v>0.78341881445777273</v>
      </c>
      <c r="M96">
        <v>7.2580095513111731E-2</v>
      </c>
      <c r="N96">
        <v>3.4903647954671199E-2</v>
      </c>
    </row>
    <row r="97" spans="1:14" x14ac:dyDescent="0.25">
      <c r="A97" s="16">
        <v>2018</v>
      </c>
      <c r="B97" s="16" t="s">
        <v>12</v>
      </c>
      <c r="C97" s="18">
        <v>13.195621274060521</v>
      </c>
      <c r="D97" s="18">
        <v>-0.20134315861978874</v>
      </c>
      <c r="E97" s="18">
        <v>0.86377974127449708</v>
      </c>
      <c r="F97" s="25">
        <v>3.3322045101752038</v>
      </c>
      <c r="G97">
        <v>22.50761626018652</v>
      </c>
      <c r="H97">
        <v>2.1972245773362196</v>
      </c>
      <c r="I97">
        <v>1</v>
      </c>
      <c r="J97">
        <v>1.2657821238303901E-2</v>
      </c>
      <c r="K97">
        <v>0.14573409178952901</v>
      </c>
      <c r="L97">
        <v>0.78559791424438341</v>
      </c>
      <c r="M97">
        <v>7.6691153124694628E-2</v>
      </c>
      <c r="N97">
        <v>3.4903647954671199E-2</v>
      </c>
    </row>
    <row r="98" spans="1:14" x14ac:dyDescent="0.25">
      <c r="A98" s="16">
        <v>2019</v>
      </c>
      <c r="B98" s="16" t="s">
        <v>12</v>
      </c>
      <c r="C98" s="18">
        <v>13.244026874322802</v>
      </c>
      <c r="D98" s="18">
        <v>4.959628552947562E-2</v>
      </c>
      <c r="E98" s="18">
        <v>0.85667257827079779</v>
      </c>
      <c r="F98" s="25">
        <v>3.3672958299864741</v>
      </c>
      <c r="G98">
        <v>22.57122903296424</v>
      </c>
      <c r="H98">
        <v>2.3025850929940459</v>
      </c>
      <c r="I98">
        <v>1</v>
      </c>
      <c r="J98">
        <v>2.2055093279443699E-2</v>
      </c>
      <c r="K98">
        <v>0.10683112391794</v>
      </c>
      <c r="L98">
        <v>0.78781823207083745</v>
      </c>
      <c r="M98">
        <v>8.0368619471538019E-2</v>
      </c>
      <c r="N98">
        <v>3.4903647954671199E-2</v>
      </c>
    </row>
    <row r="99" spans="1:14" x14ac:dyDescent="0.25">
      <c r="A99" s="16">
        <v>2020</v>
      </c>
      <c r="B99" s="16" t="s">
        <v>12</v>
      </c>
      <c r="C99" s="18">
        <v>13.297863386926345</v>
      </c>
      <c r="D99" s="18">
        <v>5.5312057830267033E-2</v>
      </c>
      <c r="E99" s="18">
        <v>0.87294966292570075</v>
      </c>
      <c r="F99" s="25">
        <v>3.4011973816621555</v>
      </c>
      <c r="G99">
        <v>22.861126275501348</v>
      </c>
      <c r="H99">
        <v>0</v>
      </c>
      <c r="I99">
        <v>0</v>
      </c>
      <c r="J99">
        <v>1.5770518762521502E-2</v>
      </c>
      <c r="K99">
        <v>0.17390470742925601</v>
      </c>
      <c r="L99">
        <v>0.79793670336738265</v>
      </c>
      <c r="M99">
        <v>0</v>
      </c>
      <c r="N99">
        <v>0</v>
      </c>
    </row>
    <row r="100" spans="1:14" x14ac:dyDescent="0.25">
      <c r="A100" s="16">
        <v>2021</v>
      </c>
      <c r="B100" s="16" t="s">
        <v>12</v>
      </c>
      <c r="C100" s="18">
        <v>13.425844485227577</v>
      </c>
      <c r="D100" s="18">
        <v>0.13653152011759948</v>
      </c>
      <c r="E100" s="18">
        <v>0.86664938241620104</v>
      </c>
      <c r="F100" s="25">
        <v>3.4339872044851463</v>
      </c>
      <c r="G100">
        <v>22.969052298429911</v>
      </c>
      <c r="H100">
        <v>0.69314718055994529</v>
      </c>
      <c r="I100">
        <v>0</v>
      </c>
      <c r="J100">
        <v>2.7274396713514001E-2</v>
      </c>
      <c r="K100">
        <v>0.118090252066433</v>
      </c>
      <c r="L100">
        <v>0.80170371527682893</v>
      </c>
      <c r="M100">
        <v>2.4193365171037241E-2</v>
      </c>
      <c r="N100">
        <v>0</v>
      </c>
    </row>
    <row r="101" spans="1:14" x14ac:dyDescent="0.25">
      <c r="A101" s="16">
        <v>2022</v>
      </c>
      <c r="B101" s="16" t="s">
        <v>12</v>
      </c>
      <c r="C101" s="18">
        <v>13.632893357472028</v>
      </c>
      <c r="D101" s="18">
        <v>0.23004268525859944</v>
      </c>
      <c r="E101" s="18">
        <v>0.88693752661844394</v>
      </c>
      <c r="F101" s="25">
        <v>3.4657359027997265</v>
      </c>
      <c r="G101">
        <v>23.231696042260051</v>
      </c>
      <c r="H101">
        <v>1.0986122886681098</v>
      </c>
      <c r="I101">
        <v>0</v>
      </c>
      <c r="J101">
        <v>4.9503318704549701E-2</v>
      </c>
      <c r="K101">
        <v>1.6865229831227301E-2</v>
      </c>
      <c r="L101">
        <v>0.81087094004897298</v>
      </c>
      <c r="M101">
        <v>3.8345576562347314E-2</v>
      </c>
      <c r="N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Combine</vt:lpstr>
      <vt:lpstr>Worked On</vt:lpstr>
      <vt:lpstr>Used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Kehinde Gabriel Aromona</cp:lastModifiedBy>
  <dcterms:created xsi:type="dcterms:W3CDTF">2024-08-19T12:48:43Z</dcterms:created>
  <dcterms:modified xsi:type="dcterms:W3CDTF">2025-04-20T22:34:46Z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2025-04-19T20:33:15Z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5a27b60c-8d31-4220-b1d4-16c07a74c988</vt:lpwstr>
  </property>
  <property fmtid="{D5CDD505-2E9C-101B-9397-08002B2CF9AE}" pid="7" name="MSIP_Label_defa4170-0d19-0005-0004-bc88714345d2_ActionId">
    <vt:lpwstr>dbe50109-d970-478e-b16e-b6aafc5b1472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